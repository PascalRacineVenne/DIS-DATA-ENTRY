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ared Core Registry" sheetId="1" state="visible" r:id="rId3"/>
    <sheet name="Legend &amp; Instructions" sheetId="2" state="visible" r:id="rId4"/>
    <sheet name="Validation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<sst xmlns="http://schemas.openxmlformats.org/spreadsheetml/2006/main" count="1325" uniqueCount="437">
  <si>
    <t xml:space="preserve">ESG Shared Core — Canonical ID Registry  ·  ~120 IDs  ·  MVP Build List</t>
  </si>
  <si>
    <t xml:space="preserve">Domain</t>
  </si>
  <si>
    <t xml:space="preserve">Sub-Group</t>
  </si>
  <si>
    <t xml:space="preserve">Canonical ID (slug)</t>
  </si>
  <si>
    <t xml:space="preserve">Plain-language Label</t>
  </si>
  <si>
    <t xml:space="preserve">Data Type</t>
  </si>
  <si>
    <t xml:space="preserve">Unit</t>
  </si>
  <si>
    <t xml:space="preserve">CSRD</t>
  </si>
  <si>
    <t xml:space="preserve">CDP</t>
  </si>
  <si>
    <t xml:space="preserve">GRI</t>
  </si>
  <si>
    <t xml:space="preserve">IFRS S2</t>
  </si>
  <si>
    <t xml:space="preserve">TCFD *</t>
  </si>
  <si>
    <t xml:space="preserve">SME Validation</t>
  </si>
  <si>
    <t xml:space="preserve">SME Owner</t>
  </si>
  <si>
    <t xml:space="preserve">Validation Date</t>
  </si>
  <si>
    <t xml:space="preserve">SME Notes / Comments</t>
  </si>
  <si>
    <t xml:space="preserve">Framework Notes</t>
  </si>
  <si>
    <t xml:space="preserve">Environment</t>
  </si>
  <si>
    <t xml:space="preserve">GHG — Scope 1</t>
  </si>
  <si>
    <t xml:space="preserve">GHG_SCOPE1_TOTAL_tCO2e</t>
  </si>
  <si>
    <t xml:space="preserve">Total gross Scope 1 GHG emissions</t>
  </si>
  <si>
    <t xml:space="preserve">number</t>
  </si>
  <si>
    <t xml:space="preserve">tCO₂e</t>
  </si>
  <si>
    <t xml:space="preserve">●</t>
  </si>
  <si>
    <t xml:space="preserve">≡</t>
  </si>
  <si>
    <t xml:space="preserve">Pending</t>
  </si>
  <si>
    <t xml:space="preserve">Core across all. ESRS E1-6, CDP C6.1, GRI 305-1, IFRS S2.29a</t>
  </si>
  <si>
    <t xml:space="preserve">GHG_SCOPE1_CO2_tCO2</t>
  </si>
  <si>
    <t xml:space="preserve">Scope 1 — CO₂ emissions</t>
  </si>
  <si>
    <t xml:space="preserve">tCO₂</t>
  </si>
  <si>
    <t xml:space="preserve">◌</t>
  </si>
  <si>
    <t xml:space="preserve">Gas-by-gas breakdown required in CSRD and CDP</t>
  </si>
  <si>
    <t xml:space="preserve">GHG_SCOPE1_CH4_tCO2e</t>
  </si>
  <si>
    <t xml:space="preserve">Scope 1 — CH₄ emissions</t>
  </si>
  <si>
    <t xml:space="preserve">Critical for oil &amp; gas and agriculture sectors</t>
  </si>
  <si>
    <t xml:space="preserve">GHG_SCOPE1_N2O_tCO2e</t>
  </si>
  <si>
    <t xml:space="preserve">Scope 1 — N₂O emissions</t>
  </si>
  <si>
    <t xml:space="preserve">Agriculture, chemicals, waste sectors</t>
  </si>
  <si>
    <t xml:space="preserve">GHG_SCOPE1_BIOGENIC_tCO2</t>
  </si>
  <si>
    <t xml:space="preserve">Scope 1 — biogenic CO₂ (gross)</t>
  </si>
  <si>
    <t xml:space="preserve">Reported separately from fossil GHG across all frameworks</t>
  </si>
  <si>
    <t xml:space="preserve">GHG_SCOPE1_METHODOLOGY</t>
  </si>
  <si>
    <t xml:space="preserve">Scope 1 calculation methodology</t>
  </si>
  <si>
    <t xml:space="preserve">select</t>
  </si>
  <si>
    <t xml:space="preserve">—</t>
  </si>
  <si>
    <t xml:space="preserve">GHG Protocol Corporate Standard / ISO 14064 / sector-specific</t>
  </si>
  <si>
    <t xml:space="preserve">GHG_SCOPE1_BASE_YEAR</t>
  </si>
  <si>
    <t xml:space="preserve">Scope 1 base year for targets</t>
  </si>
  <si>
    <t xml:space="preserve">YYYY</t>
  </si>
  <si>
    <t xml:space="preserve">Required for target trajectory calculation</t>
  </si>
  <si>
    <t xml:space="preserve">GHG_SCOPE1_INTENSITY_tCO2e_MEUR</t>
  </si>
  <si>
    <t xml:space="preserve">Scope 1 carbon intensity (per €M revenue)</t>
  </si>
  <si>
    <t xml:space="preserve">tCO₂e/M€</t>
  </si>
  <si>
    <t xml:space="preserve">Calculated: S1 total ÷ revenue. Express per unit output for industrial sectors</t>
  </si>
  <si>
    <t xml:space="preserve">GHG — Scope 2</t>
  </si>
  <si>
    <t xml:space="preserve">GHG_SCOPE2_MARKET_tCO2e</t>
  </si>
  <si>
    <t xml:space="preserve">Scope 2 — market-based method</t>
  </si>
  <si>
    <t xml:space="preserve">Uses supplier emission factors / RECs / GOs. Both methods mandatory in CSRD and CDP</t>
  </si>
  <si>
    <t xml:space="preserve">GHG_SCOPE2_LOCATION_tCO2e</t>
  </si>
  <si>
    <t xml:space="preserve">Scope 2 — location-based method</t>
  </si>
  <si>
    <t xml:space="preserve">Uses national/regional grid emission factors. Two separate canonical IDs for Scope 2</t>
  </si>
  <si>
    <t xml:space="preserve">GHG_SCOPE2_RENEWABLE_PCT</t>
  </si>
  <si>
    <t xml:space="preserve">% electricity from renewable sources</t>
  </si>
  <si>
    <t xml:space="preserve">%</t>
  </si>
  <si>
    <t xml:space="preserve">Closely linked to S2 market method. Reported separately in ESRS E1 and CDP C8</t>
  </si>
  <si>
    <t xml:space="preserve">GHG_SCOPE2_ELEC_CONSUMED_MWh</t>
  </si>
  <si>
    <t xml:space="preserve">Total electricity consumed</t>
  </si>
  <si>
    <t xml:space="preserve">MWh</t>
  </si>
  <si>
    <t xml:space="preserve">Source data for Scope 2 calculation. Required in GRI 302-1</t>
  </si>
  <si>
    <t xml:space="preserve">GHG_SCOPE2_HEAT_STEAM_MWh</t>
  </si>
  <si>
    <t xml:space="preserve">Purchased heat, steam, cooling consumed</t>
  </si>
  <si>
    <t xml:space="preserve">Separate from electricity in GRI 302-1 and ESRS E1</t>
  </si>
  <si>
    <t xml:space="preserve">GHG_SCOPE2_INTENSITY_tCO2e_MEUR</t>
  </si>
  <si>
    <t xml:space="preserve">Scope 2 carbon intensity (per €M revenue)</t>
  </si>
  <si>
    <t xml:space="preserve">Use market-based as primary, report both where required</t>
  </si>
  <si>
    <t xml:space="preserve">GHG — Scope 3</t>
  </si>
  <si>
    <t xml:space="preserve">GHG_S3_CAT1_PURCHASED_tCO2e</t>
  </si>
  <si>
    <t xml:space="preserve">Scope 3 Cat.1 — Purchased goods &amp; services</t>
  </si>
  <si>
    <t xml:space="preserve">Usually the largest S3 category. Supplier data or spend-based method</t>
  </si>
  <si>
    <t xml:space="preserve">GHG_S3_CAT2_CAPGOODS_tCO2e</t>
  </si>
  <si>
    <t xml:space="preserve">Scope 3 Cat.2 — Capital goods</t>
  </si>
  <si>
    <t xml:space="preserve">Equipment, machinery, buildings purchased during reporting year</t>
  </si>
  <si>
    <t xml:space="preserve">GHG_S3_CAT3_ENERGY_tCO2e</t>
  </si>
  <si>
    <t xml:space="preserve">Scope 3 Cat.3 — Fuel &amp; energy-related activities</t>
  </si>
  <si>
    <t xml:space="preserve">Upstream extraction/production of fuels purchased. Not in S1 or S2</t>
  </si>
  <si>
    <t xml:space="preserve">GHG_S3_CAT4_TRANSPORT_UP_tCO2e</t>
  </si>
  <si>
    <t xml:space="preserve">Scope 3 Cat.4 — Upstream transportation</t>
  </si>
  <si>
    <t xml:space="preserve">Logistics from suppliers to the reporting company</t>
  </si>
  <si>
    <t xml:space="preserve">GHG_S3_CAT5_WASTE_tCO2e</t>
  </si>
  <si>
    <t xml:space="preserve">Scope 3 Cat.5 — Waste generated in operations</t>
  </si>
  <si>
    <t xml:space="preserve">Emissions from third-party waste disposal and treatment</t>
  </si>
  <si>
    <t xml:space="preserve">GHG_S3_CAT6_BIZ_TRAVEL_tCO2e</t>
  </si>
  <si>
    <t xml:space="preserve">Scope 3 Cat.6 — Business travel</t>
  </si>
  <si>
    <t xml:space="preserve">Flights, rail, hotels. Usually calculated from expense data</t>
  </si>
  <si>
    <t xml:space="preserve">GHG_S3_CAT7_COMMUTE_tCO2e</t>
  </si>
  <si>
    <t xml:space="preserve">Scope 3 Cat.7 — Employee commuting</t>
  </si>
  <si>
    <t xml:space="preserve">Typically via employee survey. Remote work days often included</t>
  </si>
  <si>
    <t xml:space="preserve">GHG_S3_CAT9_TRANSPORT_DOWN_tCO2e</t>
  </si>
  <si>
    <t xml:space="preserve">Scope 3 Cat.9 — Downstream transportation</t>
  </si>
  <si>
    <t xml:space="preserve">Logistics from company to end customer. Retailers and distributors</t>
  </si>
  <si>
    <t xml:space="preserve">GHG_S3_CAT11_USE_tCO2e</t>
  </si>
  <si>
    <t xml:space="preserve">Scope 3 Cat.11 — Use of sold products</t>
  </si>
  <si>
    <t xml:space="preserve">Dominant for automotive, appliances, electronics. Often 70–90% of total S3</t>
  </si>
  <si>
    <t xml:space="preserve">GHG_S3_CAT12_EOL_tCO2e</t>
  </si>
  <si>
    <t xml:space="preserve">Scope 3 Cat.12 — End-of-life treatment</t>
  </si>
  <si>
    <t xml:space="preserve">Waste disposal of sold products. Linked to E5 (circular economy)</t>
  </si>
  <si>
    <t xml:space="preserve">GHG_S3_CAT15_INVESTMENTS_tCO2e</t>
  </si>
  <si>
    <t xml:space="preserve">Scope 3 Cat.15 — Investments (financed emissions)</t>
  </si>
  <si>
    <t xml:space="preserve">Critical for financial institutions. Calculated via PCAF methodology</t>
  </si>
  <si>
    <t xml:space="preserve">GHG_S3_TOTAL_tCO2e</t>
  </si>
  <si>
    <t xml:space="preserve">Total Scope 3 emissions (all material categories)</t>
  </si>
  <si>
    <t xml:space="preserve">Sum of all reported categories. Materiality assessment determines included categories</t>
  </si>
  <si>
    <t xml:space="preserve">GHG_S3_CATEGORIES_EXCLUDED</t>
  </si>
  <si>
    <t xml:space="preserve">Scope 3 categories excluded + justification</t>
  </si>
  <si>
    <t xml:space="preserve">text</t>
  </si>
  <si>
    <t xml:space="preserve">All four frameworks require explanation of why categories were excluded</t>
  </si>
  <si>
    <t xml:space="preserve">GHG_S3_DATA_QUALITY_NOTE</t>
  </si>
  <si>
    <t xml:space="preserve">Scope 3 data quality &amp; methodology note</t>
  </si>
  <si>
    <t xml:space="preserve">Describes method used per category (measured / estimated / spend-based)</t>
  </si>
  <si>
    <t xml:space="preserve">Energy</t>
  </si>
  <si>
    <t xml:space="preserve">ENERGY_TOTAL_MWh</t>
  </si>
  <si>
    <t xml:space="preserve">Total energy consumption</t>
  </si>
  <si>
    <t xml:space="preserve">GRI 302-1. Sum of all energy sources. Primary input for Scope 1 &amp; 2</t>
  </si>
  <si>
    <t xml:space="preserve">ENERGY_FOSSIL_MWh</t>
  </si>
  <si>
    <t xml:space="preserve">Energy from fossil fuels</t>
  </si>
  <si>
    <t xml:space="preserve">Fuel breakdown: natural gas, diesel, coal, etc.</t>
  </si>
  <si>
    <t xml:space="preserve">ENERGY_RENEWABLE_MWh</t>
  </si>
  <si>
    <t xml:space="preserve">Energy from renewable sources</t>
  </si>
  <si>
    <t xml:space="preserve">Solar, wind, hydro, biomass (self-generated + purchased)</t>
  </si>
  <si>
    <t xml:space="preserve">ENERGY_INTENSITY_MWh_MEUR</t>
  </si>
  <si>
    <t xml:space="preserve">Energy intensity per €M revenue</t>
  </si>
  <si>
    <t xml:space="preserve">MWh/M€</t>
  </si>
  <si>
    <t xml:space="preserve">GRI 302-3. Calculated field</t>
  </si>
  <si>
    <t xml:space="preserve">ENERGY_REDUCTION_MWh</t>
  </si>
  <si>
    <t xml:space="preserve">Energy savings from efficiency initiatives</t>
  </si>
  <si>
    <t xml:space="preserve">GRI 302-4. Year-on-year energy reductions from specific projects</t>
  </si>
  <si>
    <t xml:space="preserve">ENERGY_TARGET_PCT_RENEWABLE</t>
  </si>
  <si>
    <t xml:space="preserve">Renewable energy target (%)</t>
  </si>
  <si>
    <t xml:space="preserve">Target year + target % for renewable transition</t>
  </si>
  <si>
    <t xml:space="preserve">ENERGY_TARGET_REDUCTION_PCT</t>
  </si>
  <si>
    <t xml:space="preserve">Energy reduction target (% vs base year)</t>
  </si>
  <si>
    <t xml:space="preserve">Often part of Science-Based Target or net-zero commitment</t>
  </si>
  <si>
    <t xml:space="preserve">ENERGY_INTERNAL_CARBON_PRICE</t>
  </si>
  <si>
    <t xml:space="preserve">Internal carbon price ($/tCO₂e)</t>
  </si>
  <si>
    <t xml:space="preserve">$/tCO₂e</t>
  </si>
  <si>
    <t xml:space="preserve">CDP C11 and IFRS S2. Shadow price used in investment decisions</t>
  </si>
  <si>
    <t xml:space="preserve">Water</t>
  </si>
  <si>
    <t xml:space="preserve">WATER_WITHDRAWAL_TOTAL_m3</t>
  </si>
  <si>
    <t xml:space="preserve">Total water withdrawal</t>
  </si>
  <si>
    <t xml:space="preserve">m³</t>
  </si>
  <si>
    <t xml:space="preserve">GRI 303-3. All sources: municipal, groundwater, surface, seawater</t>
  </si>
  <si>
    <t xml:space="preserve">WATER_STRESS_WITHDRAWAL_m3</t>
  </si>
  <si>
    <t xml:space="preserve">Water withdrawal in water-stressed areas</t>
  </si>
  <si>
    <t xml:space="preserve">Sites assessed via WRI Aqueduct or similar tool. Key risk indicator</t>
  </si>
  <si>
    <t xml:space="preserve">WATER_CONSUMPTION_TOTAL_m3</t>
  </si>
  <si>
    <t xml:space="preserve">Total water consumption (withdrawn – discharged)</t>
  </si>
  <si>
    <t xml:space="preserve">Net consumption after discharge. More meaningful than raw withdrawal</t>
  </si>
  <si>
    <t xml:space="preserve">WATER_DISCHARGE_TOTAL_m3</t>
  </si>
  <si>
    <t xml:space="preserve">Total water discharge</t>
  </si>
  <si>
    <t xml:space="preserve">GRI 303-4. Destination (sea, freshwater, third party)</t>
  </si>
  <si>
    <t xml:space="preserve">WATER_RECYCLED_PCT</t>
  </si>
  <si>
    <t xml:space="preserve">% of water recycled / reused</t>
  </si>
  <si>
    <t xml:space="preserve">CDP W1. GRI 303-1. Efficiency indicator</t>
  </si>
  <si>
    <t xml:space="preserve">WATER_TARGET_REDUCTION_PCT</t>
  </si>
  <si>
    <t xml:space="preserve">Water withdrawal reduction target (% vs base year)</t>
  </si>
  <si>
    <t xml:space="preserve">Includes target year and base year value</t>
  </si>
  <si>
    <t xml:space="preserve">Waste</t>
  </si>
  <si>
    <t xml:space="preserve">WASTE_TOTAL_GENERATED_t</t>
  </si>
  <si>
    <t xml:space="preserve">Total waste generated</t>
  </si>
  <si>
    <t xml:space="preserve">tonnes</t>
  </si>
  <si>
    <t xml:space="preserve">GRI 306-3. Hazardous + non-hazardous split required</t>
  </si>
  <si>
    <t xml:space="preserve">WASTE_HAZARDOUS_t</t>
  </si>
  <si>
    <t xml:space="preserve">Hazardous waste generated</t>
  </si>
  <si>
    <t xml:space="preserve">Regulatory definition varies by country. ESRS E2 overlap</t>
  </si>
  <si>
    <t xml:space="preserve">WASTE_DIVERTED_RECYCLED_t</t>
  </si>
  <si>
    <t xml:space="preserve">Waste diverted — recycling</t>
  </si>
  <si>
    <t xml:space="preserve">GRI 306-4. Key for circular economy claims (ESRS E5)</t>
  </si>
  <si>
    <t xml:space="preserve">WASTE_DIRECTED_LANDFILL_t</t>
  </si>
  <si>
    <t xml:space="preserve">Waste directed to landfill</t>
  </si>
  <si>
    <t xml:space="preserve">GRI 306-5. Most impactful disposal method for emissions</t>
  </si>
  <si>
    <t xml:space="preserve">WASTE_DIVERSION_RATE_PCT</t>
  </si>
  <si>
    <t xml:space="preserve">Waste diversion rate from landfill (%)</t>
  </si>
  <si>
    <t xml:space="preserve">Calculated: (diverted / total) × 100. Common target metric</t>
  </si>
  <si>
    <t xml:space="preserve">WASTE_TARGET_REDUCTION_PCT</t>
  </si>
  <si>
    <t xml:space="preserve">Waste reduction target (% vs base year)</t>
  </si>
  <si>
    <t xml:space="preserve">Often linked to circular economy strategy (ESRS E5)</t>
  </si>
  <si>
    <t xml:space="preserve">Climate Risk &amp; Targets</t>
  </si>
  <si>
    <t xml:space="preserve">CLIMATE_NET_ZERO_TARGET_YEAR</t>
  </si>
  <si>
    <t xml:space="preserve">Net-zero commitment target year</t>
  </si>
  <si>
    <t xml:space="preserve">2030 interim + 2050 long-term targets required in ESRS E1</t>
  </si>
  <si>
    <t xml:space="preserve">CLIMATE_SBTI_COMMITTED</t>
  </si>
  <si>
    <t xml:space="preserve">Science-Based Target committed (Y/N)</t>
  </si>
  <si>
    <t xml:space="preserve">boolean</t>
  </si>
  <si>
    <t xml:space="preserve">CDP C4.1b. High signal for investors. Links to target ambition level</t>
  </si>
  <si>
    <t xml:space="preserve">CLIMATE_GHG_REDUCTION_TARGET_PCT</t>
  </si>
  <si>
    <t xml:space="preserve">GHG reduction target (% vs base year)</t>
  </si>
  <si>
    <t xml:space="preserve">Split by Scope 1+2 and Scope 3. Interim (2030) + long-term (2050)</t>
  </si>
  <si>
    <t xml:space="preserve">CLIMATE_SCENARIO_COVERAGE</t>
  </si>
  <si>
    <t xml:space="preserve">Scenario analysis conducted (Y/N + scenarios used)</t>
  </si>
  <si>
    <t xml:space="preserve">IEA NZE, NGFS, RCP scenarios. 1.5°C-aligned scenario required</t>
  </si>
  <si>
    <t xml:space="preserve">CLIMATE_PHYSICAL_RISK_ACUTE_DESC</t>
  </si>
  <si>
    <t xml:space="preserve">Acute physical climate risks identified</t>
  </si>
  <si>
    <t xml:space="preserve">Floods, wildfires, extreme heat events. Site-level where possible</t>
  </si>
  <si>
    <t xml:space="preserve">CLIMATE_PHYSICAL_RISK_CHRONIC_DESC</t>
  </si>
  <si>
    <t xml:space="preserve">Chronic physical climate risks identified</t>
  </si>
  <si>
    <t xml:space="preserve">Sea-level rise, temperature trends, precipitation shifts</t>
  </si>
  <si>
    <t xml:space="preserve">CLIMATE_TRANSITION_RISK_DESC</t>
  </si>
  <si>
    <t xml:space="preserve">Transition risks identified (policy, tech, market)</t>
  </si>
  <si>
    <t xml:space="preserve">Carbon price exposure, stranded asset risk, regulatory change</t>
  </si>
  <si>
    <t xml:space="preserve">CLIMATE_CAPEX_ALIGNED_PCT</t>
  </si>
  <si>
    <t xml:space="preserve">CapEx aligned to climate transition (%)</t>
  </si>
  <si>
    <t xml:space="preserve">ESRS E1 Taxonomy alignment. % of CapEx in green/transition activities</t>
  </si>
  <si>
    <t xml:space="preserve">Social</t>
  </si>
  <si>
    <t xml:space="preserve">Workforce</t>
  </si>
  <si>
    <t xml:space="preserve">WFORCE_HEADCOUNT_TOTAL</t>
  </si>
  <si>
    <t xml:space="preserve">Total employees (headcount)</t>
  </si>
  <si>
    <t xml:space="preserve">count</t>
  </si>
  <si>
    <t xml:space="preserve">GRI 2-7. End of period headcount. Permanent + temporary split required</t>
  </si>
  <si>
    <t xml:space="preserve">WFORCE_FTE_TOTAL</t>
  </si>
  <si>
    <t xml:space="preserve">Total full-time equivalent (FTE)</t>
  </si>
  <si>
    <t xml:space="preserve">FTE</t>
  </si>
  <si>
    <t xml:space="preserve">ESRS S1-6. Normalised for part-time. Used for intensity metrics</t>
  </si>
  <si>
    <t xml:space="preserve">WFORCE_PERMANENT_PCT</t>
  </si>
  <si>
    <t xml:space="preserve">% employees on permanent contracts</t>
  </si>
  <si>
    <t xml:space="preserve">Job security indicator. GRI 2-7c</t>
  </si>
  <si>
    <t xml:space="preserve">WFORCE_PARTTIME_PCT</t>
  </si>
  <si>
    <t xml:space="preserve">% employees part-time</t>
  </si>
  <si>
    <t xml:space="preserve">GRI 2-7b. Working conditions indicator</t>
  </si>
  <si>
    <t xml:space="preserve">WFORCE_NEW_HIRES_COUNT</t>
  </si>
  <si>
    <t xml:space="preserve">New employee hires (count)</t>
  </si>
  <si>
    <t xml:space="preserve">GRI 401-1. Split by age group and gender required</t>
  </si>
  <si>
    <t xml:space="preserve">WFORCE_TURNOVER_RATE_PCT</t>
  </si>
  <si>
    <t xml:space="preserve">Employee turnover rate (%)</t>
  </si>
  <si>
    <t xml:space="preserve">GRI 401-1. Voluntary vs involuntary split valuable</t>
  </si>
  <si>
    <t xml:space="preserve">WFORCE_COLLECTIVE_BARGAIN_PCT</t>
  </si>
  <si>
    <t xml:space="preserve">% employees covered by collective bargaining</t>
  </si>
  <si>
    <t xml:space="preserve">GRI 2-30. Freedom of association indicator</t>
  </si>
  <si>
    <t xml:space="preserve">WFORCE_TRAINING_HOURS_AVG</t>
  </si>
  <si>
    <t xml:space="preserve">Average training hours per employee per year</t>
  </si>
  <si>
    <t xml:space="preserve">hours</t>
  </si>
  <si>
    <t xml:space="preserve">GRI 404-1. Investment in human capital development</t>
  </si>
  <si>
    <t xml:space="preserve">WFORCE_PERF_REVIEW_PCT</t>
  </si>
  <si>
    <t xml:space="preserve">% employees receiving regular performance reviews</t>
  </si>
  <si>
    <t xml:space="preserve">GRI 404-3. Career development indicator</t>
  </si>
  <si>
    <t xml:space="preserve">WFORCE_MEDIAN_WAGE_EUR</t>
  </si>
  <si>
    <t xml:space="preserve">Median employee base salary (€)</t>
  </si>
  <si>
    <t xml:space="preserve">€</t>
  </si>
  <si>
    <t xml:space="preserve">ESRS S1-16. Needed for CEO pay ratio. Split by gender</t>
  </si>
  <si>
    <t xml:space="preserve">Health &amp; Safety</t>
  </si>
  <si>
    <t xml:space="preserve">OHS_FATALITIES_EMPLOYEES</t>
  </si>
  <si>
    <t xml:space="preserve">Work-related fatalities — employees</t>
  </si>
  <si>
    <t xml:space="preserve">GRI 403-9. Zero is the only acceptable target. High investor scrutiny</t>
  </si>
  <si>
    <t xml:space="preserve">OHS_FATALITIES_CONTRACTORS</t>
  </si>
  <si>
    <t xml:space="preserve">Work-related fatalities — contractors</t>
  </si>
  <si>
    <t xml:space="preserve">GRI 403-9. Must be reported separately from employees</t>
  </si>
  <si>
    <t xml:space="preserve">OHS_LTIR_EMPLOYEES</t>
  </si>
  <si>
    <t xml:space="preserve">Lost-time injury rate (LTIR) — employees</t>
  </si>
  <si>
    <t xml:space="preserve">per 1M hrs</t>
  </si>
  <si>
    <t xml:space="preserve">GRI 403-9. Industry benchmark standard</t>
  </si>
  <si>
    <t xml:space="preserve">OHS_LTIR_CONTRACTORS</t>
  </si>
  <si>
    <t xml:space="preserve">Lost-time injury rate (LTIR) — contractors</t>
  </si>
  <si>
    <t xml:space="preserve">Separate tracking required by ESRS S1 and GRI 403</t>
  </si>
  <si>
    <t xml:space="preserve">OHS_RECORDABLE_RATE</t>
  </si>
  <si>
    <t xml:space="preserve">Total recordable incident rate (TRIR)</t>
  </si>
  <si>
    <t xml:space="preserve">Broader than LTIR — includes recordable injuries without lost days</t>
  </si>
  <si>
    <t xml:space="preserve">OHS_DAYS_LOST</t>
  </si>
  <si>
    <t xml:space="preserve">Total days lost to work-related injuries</t>
  </si>
  <si>
    <t xml:space="preserve">days</t>
  </si>
  <si>
    <t xml:space="preserve">GRI 403-9. Total absenteeism from injury (not illness)</t>
  </si>
  <si>
    <t xml:space="preserve">OHS_WORK_HOURS_TOTAL</t>
  </si>
  <si>
    <t xml:space="preserve">Total hours worked (employees + contractors)</t>
  </si>
  <si>
    <t xml:space="preserve">Denominator for all rate calculations. Required by GRI 403-9</t>
  </si>
  <si>
    <t xml:space="preserve">OHS_MGMT_SYSTEM_PCT</t>
  </si>
  <si>
    <t xml:space="preserve">% workforce covered by OHS management system</t>
  </si>
  <si>
    <t xml:space="preserve">GRI 403-8. ISO 45001 certification level if applicable</t>
  </si>
  <si>
    <t xml:space="preserve">Diversity &amp; Equity</t>
  </si>
  <si>
    <t xml:space="preserve">DIV_GENDER_WOMEN_TOTAL_PCT</t>
  </si>
  <si>
    <t xml:space="preserve">% women in total workforce</t>
  </si>
  <si>
    <t xml:space="preserve">GRI 405-1. Baseline metric for all gender reporting</t>
  </si>
  <si>
    <t xml:space="preserve">DIV_GENDER_WOMEN_MGMT_PCT</t>
  </si>
  <si>
    <t xml:space="preserve">% women in management / leadership roles</t>
  </si>
  <si>
    <t xml:space="preserve">ESRS S1-15. Senior management + board split valuable</t>
  </si>
  <si>
    <t xml:space="preserve">DIV_GENDER_WOMEN_BOARD_PCT</t>
  </si>
  <si>
    <t xml:space="preserve">% women on board of directors</t>
  </si>
  <si>
    <t xml:space="preserve">EU 40% target for large listed companies by 2026</t>
  </si>
  <si>
    <t xml:space="preserve">DIV_GENDER_PAY_GAP_PCT</t>
  </si>
  <si>
    <t xml:space="preserve">Gender pay gap (unadjusted, % difference)</t>
  </si>
  <si>
    <t xml:space="preserve">ESRS S1-16. Median base salary gap women vs men</t>
  </si>
  <si>
    <t xml:space="preserve">DIV_CEO_PAY_RATIO</t>
  </si>
  <si>
    <t xml:space="preserve">CEO-to-median-employee pay ratio</t>
  </si>
  <si>
    <t xml:space="preserve">ratio</t>
  </si>
  <si>
    <t xml:space="preserve">ESRS S1-16. e.g. 45:1 means CEO earns 45× median employee</t>
  </si>
  <si>
    <t xml:space="preserve">DIV_AGE_UNDER30_PCT</t>
  </si>
  <si>
    <t xml:space="preserve">% employees under 30 years old</t>
  </si>
  <si>
    <t xml:space="preserve">GRI 405-1. Age bracket: under 30, 30–50, over 50</t>
  </si>
  <si>
    <t xml:space="preserve">DIV_PARENTAL_LEAVE_RETURN_PCT</t>
  </si>
  <si>
    <t xml:space="preserve">Parental leave return-to-work rate (%)</t>
  </si>
  <si>
    <t xml:space="preserve">GRI 401-3. Split by gender. Key retention indicator</t>
  </si>
  <si>
    <t xml:space="preserve">DIV_DISCRIMINATION_INCIDENTS</t>
  </si>
  <si>
    <t xml:space="preserve">Discrimination incidents reported (count)</t>
  </si>
  <si>
    <t xml:space="preserve">GRI 406-1. Requires action taken / remediation status</t>
  </si>
  <si>
    <t xml:space="preserve">DIV_DISABILITY_PCT</t>
  </si>
  <si>
    <t xml:space="preserve">% employees with disabilities</t>
  </si>
  <si>
    <t xml:space="preserve">ESRS S1-12. Self-disclosed. Increasingly required under CSRD</t>
  </si>
  <si>
    <t xml:space="preserve">DIV_SURVEY_ENGAGEMENT_SCORE</t>
  </si>
  <si>
    <t xml:space="preserve">Employee engagement / satisfaction score</t>
  </si>
  <si>
    <t xml:space="preserve">score</t>
  </si>
  <si>
    <t xml:space="preserve">ESRS S1-17. Survey-based. Scale and methodology must be disclosed</t>
  </si>
  <si>
    <t xml:space="preserve">Compensation</t>
  </si>
  <si>
    <t xml:space="preserve">COMP_LIVING_WAGE_PCT</t>
  </si>
  <si>
    <t xml:space="preserve">% employees earning above living wage</t>
  </si>
  <si>
    <t xml:space="preserve">ESRS S1-10. Living wage varies by country. Anker methodology reference</t>
  </si>
  <si>
    <t xml:space="preserve">COMP_SOCIAL_PROTECTION_PCT</t>
  </si>
  <si>
    <t xml:space="preserve">% employees covered by social protection</t>
  </si>
  <si>
    <t xml:space="preserve">ESRS S1-11. Health, unemployment, pension coverage</t>
  </si>
  <si>
    <t xml:space="preserve">COMP_ESG_EXEC_LINKED_PCT</t>
  </si>
  <si>
    <t xml:space="preserve">% executive compensation linked to ESG targets</t>
  </si>
  <si>
    <t xml:space="preserve">CDP C1.3. High investor interest. % of variable pay tied to ESG KPIs</t>
  </si>
  <si>
    <t xml:space="preserve">COMP_GRIEVANCE_FILED</t>
  </si>
  <si>
    <t xml:space="preserve">Grievances filed by employees (count)</t>
  </si>
  <si>
    <t xml:space="preserve">ESRS S1-20. Formal complaints. Requires resolution rate disclosure</t>
  </si>
  <si>
    <t xml:space="preserve">COMP_GRIEVANCE_RESOLVED_PCT</t>
  </si>
  <si>
    <t xml:space="preserve">% grievances resolved within reporting period</t>
  </si>
  <si>
    <t xml:space="preserve">Paired with COMP_GRIEVANCE_FILED</t>
  </si>
  <si>
    <t xml:space="preserve">COMP_WHISTLEBLOWER_EXISTS</t>
  </si>
  <si>
    <t xml:space="preserve">Whistleblower mechanism in place (Y/N)</t>
  </si>
  <si>
    <t xml:space="preserve">EU Whistleblower Protection Directive mandates this</t>
  </si>
  <si>
    <t xml:space="preserve">COMP_WHISTLEBLOWER_REPORTS</t>
  </si>
  <si>
    <t xml:space="preserve">Whistleblower reports received (count)</t>
  </si>
  <si>
    <t xml:space="preserve">ESRS G1-3. Requires substantiation rate. Confidentiality note required</t>
  </si>
  <si>
    <t xml:space="preserve">Governance</t>
  </si>
  <si>
    <t xml:space="preserve">GOV_BOARD_SIZE</t>
  </si>
  <si>
    <t xml:space="preserve">Total number of board members</t>
  </si>
  <si>
    <t xml:space="preserve">GRI 2-9. Foundation for all board diversity metrics</t>
  </si>
  <si>
    <t xml:space="preserve">GOV_BOARD_INDEPENDENT_PCT</t>
  </si>
  <si>
    <t xml:space="preserve">% independent board members</t>
  </si>
  <si>
    <t xml:space="preserve">GRI 2-9. Corporate governance best practice indicator</t>
  </si>
  <si>
    <t xml:space="preserve">GOV_BOARD_ESG_OVERSIGHT</t>
  </si>
  <si>
    <t xml:space="preserve">Board-level ESG oversight mechanism</t>
  </si>
  <si>
    <t xml:space="preserve">Committee structure, frequency of ESG review. TCFD Pillar 1</t>
  </si>
  <si>
    <t xml:space="preserve">GOV_BOARD_ESG_TRAINING_PCT</t>
  </si>
  <si>
    <t xml:space="preserve">% board members with ESG/sustainability training</t>
  </si>
  <si>
    <t xml:space="preserve">Competency requirement in ESRS 2 and CDP C1.1b</t>
  </si>
  <si>
    <t xml:space="preserve">GOV_ANTICORRUPT_TRAINING_PCT</t>
  </si>
  <si>
    <t xml:space="preserve">% employees trained on anti-corruption policies</t>
  </si>
  <si>
    <t xml:space="preserve">GRI 205-2. Split by employee category and governance body</t>
  </si>
  <si>
    <t xml:space="preserve">GOV_CORRUPTION_INCIDENTS</t>
  </si>
  <si>
    <t xml:space="preserve">Confirmed corruption incidents (count)</t>
  </si>
  <si>
    <t xml:space="preserve">GRI 205-3. Requires action taken disclosure</t>
  </si>
  <si>
    <t xml:space="preserve">GOV_LEGAL_FINES_EUR</t>
  </si>
  <si>
    <t xml:space="preserve">Total significant fines for non-compliance (€)</t>
  </si>
  <si>
    <t xml:space="preserve">GRI 2-27. Legal compliance signal. All fine categories</t>
  </si>
  <si>
    <t xml:space="preserve">GOV_SUPPLIER_CODE_COVERAGE_PCT</t>
  </si>
  <si>
    <t xml:space="preserve">% key suppliers covered by code of conduct</t>
  </si>
  <si>
    <t xml:space="preserve">ESRS G1-2. Supply chain ESG governance indicator</t>
  </si>
  <si>
    <t xml:space="preserve">GOV_SUPPLIER_AUDITS_COUNT</t>
  </si>
  <si>
    <t xml:space="preserve">Number of supplier ESG audits conducted</t>
  </si>
  <si>
    <t xml:space="preserve">Due diligence depth indicator. % with issues found also valuable</t>
  </si>
  <si>
    <t xml:space="preserve">GOV_POLITICAL_CONTRIB_EUR</t>
  </si>
  <si>
    <t xml:space="preserve">Total political contributions (€)</t>
  </si>
  <si>
    <t xml:space="preserve">GRI 415-1 and ESRS G1-5. Zero in many jurisdictions</t>
  </si>
  <si>
    <t xml:space="preserve">GOV_DATA_BREACHES_COUNT</t>
  </si>
  <si>
    <t xml:space="preserve">Data breaches / cybersecurity incidents (count)</t>
  </si>
  <si>
    <t xml:space="preserve">GRI 418-1 / ESRS G1. Reported to authorities</t>
  </si>
  <si>
    <t xml:space="preserve">GOV_CUSTOMERS_AFFECTED_BREACH</t>
  </si>
  <si>
    <t xml:space="preserve">Customers affected by data breaches (count)</t>
  </si>
  <si>
    <t xml:space="preserve">GRI 418-1. Severity indicator paired with breach count</t>
  </si>
  <si>
    <t xml:space="preserve">Cross-cutting</t>
  </si>
  <si>
    <t xml:space="preserve">META_REPORTING_BOUNDARY</t>
  </si>
  <si>
    <t xml:space="preserve">Reporting boundary definition</t>
  </si>
  <si>
    <t xml:space="preserve">GRI 2-2. Operational / financial control / equity share</t>
  </si>
  <si>
    <t xml:space="preserve">META_REPORTING_YEAR</t>
  </si>
  <si>
    <t xml:space="preserve">Reporting period (year)</t>
  </si>
  <si>
    <t xml:space="preserve">Shared across all datapoints. Calendar vs fiscal year matters</t>
  </si>
  <si>
    <t xml:space="preserve">META_REVENUE_EUR</t>
  </si>
  <si>
    <t xml:space="preserve">Total revenue (€)</t>
  </si>
  <si>
    <t xml:space="preserve">Denominator for all intensity metrics. Also determines regulatory threshold</t>
  </si>
  <si>
    <t xml:space="preserve">META_ASSURANCE_LEVEL</t>
  </si>
  <si>
    <t xml:space="preserve">External assurance level obtained</t>
  </si>
  <si>
    <t xml:space="preserve">CSRD: limited initially, reasonable by 2028. Options: none / limited / reasonable</t>
  </si>
  <si>
    <t xml:space="preserve">META_MATERIALITY_TOPICS</t>
  </si>
  <si>
    <t xml:space="preserve">Material topics identified (list)</t>
  </si>
  <si>
    <t xml:space="preserve">Output of materiality assessment process. Drives applicable ESRS standards</t>
  </si>
  <si>
    <t xml:space="preserve">META_STAKEHOLDER_ENGAGEMENT</t>
  </si>
  <si>
    <t xml:space="preserve">Stakeholder groups engaged in materiality</t>
  </si>
  <si>
    <t xml:space="preserve">GRI 2-29. CSRD requires dual impact + financial materiality assessment</t>
  </si>
  <si>
    <t xml:space="preserve">META_RESTATEMENTS</t>
  </si>
  <si>
    <t xml:space="preserve">Prior year restatements (description + reason)</t>
  </si>
  <si>
    <t xml:space="preserve">GRI 2-4. Required by all frameworks for comparability</t>
  </si>
  <si>
    <t xml:space="preserve">META_FRAMEWORKS_APPLIED</t>
  </si>
  <si>
    <t xml:space="preserve">Reporting frameworks applied (list)</t>
  </si>
  <si>
    <t xml:space="preserve">GRI 2-14. Standards and versions used for the reporting period</t>
  </si>
  <si>
    <t xml:space="preserve">Legend &amp; Instructions — Shared Core Canonical ID Registry</t>
  </si>
  <si>
    <t xml:space="preserve">Framework Coverage Dots</t>
  </si>
  <si>
    <t xml:space="preserve">Column</t>
  </si>
  <si>
    <t xml:space="preserve">Symbol</t>
  </si>
  <si>
    <t xml:space="preserve">Meaning</t>
  </si>
  <si>
    <t xml:space="preserve">CSRD / CDP / GRI / IFRS S2</t>
  </si>
  <si>
    <t xml:space="preserve">●  (filled)</t>
  </si>
  <si>
    <t xml:space="preserve">Mandatory or standard requirement in this framework</t>
  </si>
  <si>
    <t xml:space="preserve">◌  (faded)</t>
  </si>
  <si>
    <t xml:space="preserve">Conditional — required only if material or sector-specific</t>
  </si>
  <si>
    <t xml:space="preserve">TCFD</t>
  </si>
  <si>
    <t xml:space="preserve">Fully covered by CSRD E1 + IFRS S2 — no net new IDs needed</t>
  </si>
  <si>
    <t xml:space="preserve">Domain Color Coding</t>
  </si>
  <si>
    <t xml:space="preserve">E</t>
  </si>
  <si>
    <t xml:space="preserve">S</t>
  </si>
  <si>
    <t xml:space="preserve">G</t>
  </si>
  <si>
    <t xml:space="preserve">X</t>
  </si>
  <si>
    <t xml:space="preserve">SME Validation Column — Instructions</t>
  </si>
  <si>
    <t xml:space="preserve">Default status for all IDs. Awaiting SME review.</t>
  </si>
  <si>
    <t xml:space="preserve">In Review</t>
  </si>
  <si>
    <t xml:space="preserve">SME is actively reviewing this canonical ID and its framework mappings.</t>
  </si>
  <si>
    <t xml:space="preserve">Approved</t>
  </si>
  <si>
    <t xml:space="preserve">SME has confirmed the ID, label, type, unit, and framework coverage are correct.</t>
  </si>
  <si>
    <t xml:space="preserve">Flagged</t>
  </si>
  <si>
    <t xml:space="preserve">SME has identified an issue. Use the SME Notes column to describe the problem.</t>
  </si>
  <si>
    <t xml:space="preserve">Column Definitions</t>
  </si>
  <si>
    <t xml:space="preserve">Unique identifier for the data point. Framework-agnostic. Follows DOMAIN_CONCEPT_UNIT pattern.</t>
  </si>
  <si>
    <t xml:space="preserve">Human-readable name shown to users in the product UI. No framework jargon.</t>
  </si>
  <si>
    <t xml:space="preserve">number / text / boolean / select. Determines the DataSource column type generated.</t>
  </si>
  <si>
    <t xml:space="preserve">Measurement unit (tCO₂e, MWh, %, count, €, etc.). Stored as metadata on the canonical_requirement table.</t>
  </si>
  <si>
    <t xml:space="preserve">CSRD / CDP / GRI / IFRS</t>
  </si>
  <si>
    <t xml:space="preserve">● = mandatory or standard in this framework. ◌ = conditional or sector-specific.</t>
  </si>
  <si>
    <t xml:space="preserve">≡ = fully covered by CSRD E1 and IFRS S2. No dedicated TCFD-only canonical IDs are needed.</t>
  </si>
  <si>
    <t xml:space="preserve">Dropdown: Pending / In Review / Approved / Flagged. Use to track review progress by domain.</t>
  </si>
  <si>
    <t xml:space="preserve">Name or initials of the subject matter expert responsible for validating this ID.</t>
  </si>
  <si>
    <t xml:space="preserve">Date format YYYY-MM-DD. Fill when status changes to Approved or Flagged.</t>
  </si>
  <si>
    <t xml:space="preserve">Free-text field for SME observations, questions, edge cases, or flagged issues.</t>
  </si>
  <si>
    <t xml:space="preserve">Technical notes on methodology, GRI/ESRS references, and calculation rules. Pre-filled by product team.</t>
  </si>
  <si>
    <t xml:space="preserve">SME Validation Tracker — Status summary pulled from Registry sheet</t>
  </si>
  <si>
    <t xml:space="preserve">Canonical ID</t>
  </si>
  <si>
    <t xml:space="preserve">Status</t>
  </si>
  <si>
    <t xml:space="preserve">Notes</t>
  </si>
  <si>
    <t xml:space="preserve">Validation Progress Summary</t>
  </si>
  <si>
    <t xml:space="preserve">Total IDs</t>
  </si>
  <si>
    <t xml:space="preserve">% Complete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</si>
</sst>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.0%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65F46"/>
      <name val="Arial"/>
      <family val="0"/>
      <charset val="1"/>
    </font>
    <font>
      <b val="true"/>
      <sz val="8"/>
      <color rgb="FF0369A1"/>
      <name val="Courier New"/>
      <family val="0"/>
      <charset val="1"/>
    </font>
    <font>
      <sz val="9"/>
      <color rgb="FF1C1F2A"/>
      <name val="Arial"/>
      <family val="0"/>
      <charset val="1"/>
    </font>
    <font>
      <sz val="8"/>
      <color rgb="FF6B7280"/>
      <name val="Courier New"/>
      <family val="0"/>
      <charset val="1"/>
    </font>
    <font>
      <b val="true"/>
      <sz val="11"/>
      <color rgb="FF059669"/>
      <name val="Arial"/>
      <family val="0"/>
      <charset val="1"/>
    </font>
    <font>
      <i val="true"/>
      <sz val="10"/>
      <color rgb="FF8B5CF6"/>
      <name val="Arial"/>
      <family val="0"/>
      <charset val="1"/>
    </font>
    <font>
      <sz val="9"/>
      <color rgb="FF374151"/>
      <name val="Arial"/>
      <family val="0"/>
      <charset val="1"/>
    </font>
    <font>
      <i val="true"/>
      <sz val="8"/>
      <color rgb="FF6B7280"/>
      <name val="Arial"/>
      <family val="0"/>
      <charset val="1"/>
    </font>
    <font>
      <sz val="11"/>
      <color rgb="FFD1D5DB"/>
      <name val="Arial"/>
      <family val="0"/>
      <charset val="1"/>
    </font>
    <font>
      <b val="true"/>
      <sz val="8"/>
      <color rgb="FF5B21B6"/>
      <name val="Arial"/>
      <family val="0"/>
      <charset val="1"/>
    </font>
    <font>
      <b val="true"/>
      <sz val="11"/>
      <color rgb="FF7C3AED"/>
      <name val="Arial"/>
      <family val="0"/>
      <charset val="1"/>
    </font>
    <font>
      <b val="true"/>
      <sz val="8"/>
      <color rgb="FF92400E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b val="true"/>
      <sz val="8"/>
      <color rgb="FF0369A1"/>
      <name val="Arial"/>
      <family val="0"/>
      <charset val="1"/>
    </font>
    <font>
      <b val="true"/>
      <sz val="11"/>
      <color rgb="FF0891B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374151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9"/>
      <color rgb="FF1C1F2A"/>
      <name val="Arial"/>
      <family val="0"/>
      <charset val="1"/>
    </font>
    <font>
      <sz val="9"/>
      <color rgb="FF4B5263"/>
      <name val="Arial"/>
      <family val="0"/>
      <charset val="1"/>
    </font>
    <font>
      <i val="true"/>
      <sz val="9"/>
      <color rgb="FF4B5263"/>
      <name val="Arial"/>
      <family val="0"/>
      <charset val="1"/>
    </font>
    <font>
      <b val="true"/>
      <sz val="10"/>
      <color rgb="FF1C1F2A"/>
      <name val="Arial"/>
      <family val="0"/>
      <charset val="1"/>
    </font>
    <font>
      <b val="true"/>
      <sz val="11"/>
      <color rgb="FF1C1F2A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b val="true"/>
      <sz val="11"/>
      <color rgb="FF15803D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1"/>
      <color rgb="FF92400E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1"/>
      <color rgb="FF991B1B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1"/>
      <color rgb="FF374151"/>
      <name val="Arial"/>
      <family val="0"/>
      <charset val="1"/>
    </font>
    <font>
      <b val="true"/>
      <sz val="10"/>
      <color rgb="FF0369A1"/>
      <name val="Arial"/>
      <family val="0"/>
      <charset val="1"/>
    </font>
    <font>
      <b val="true"/>
      <sz val="11"/>
      <color rgb="FF0369A1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C1F2A"/>
        <bgColor rgb="FF2D3748"/>
      </patternFill>
    </fill>
    <fill>
      <patternFill patternType="solid">
        <fgColor rgb="FF059669"/>
        <bgColor rgb="FF15803D"/>
      </patternFill>
    </fill>
    <fill>
      <patternFill patternType="solid">
        <fgColor rgb="FFECFDF5"/>
        <bgColor rgb="FFECFEFF"/>
      </patternFill>
    </fill>
    <fill>
      <patternFill patternType="solid">
        <fgColor rgb="FFFFFFFF"/>
        <bgColor rgb="FFFAFAFA"/>
      </patternFill>
    </fill>
    <fill>
      <patternFill patternType="solid">
        <fgColor rgb="FFFAF5FF"/>
        <bgColor rgb="FFF5F3FF"/>
      </patternFill>
    </fill>
    <fill>
      <patternFill patternType="solid">
        <fgColor rgb="FFF3F4F6"/>
        <bgColor rgb="FFF5F3FF"/>
      </patternFill>
    </fill>
    <fill>
      <patternFill patternType="solid">
        <fgColor rgb="FFFAFAFA"/>
        <bgColor rgb="FFF9FAFB"/>
      </patternFill>
    </fill>
    <fill>
      <patternFill patternType="solid">
        <fgColor rgb="FFF9FAFB"/>
        <bgColor rgb="FFFAFAFA"/>
      </patternFill>
    </fill>
    <fill>
      <patternFill patternType="solid">
        <fgColor rgb="FF7C3AED"/>
        <bgColor rgb="FF8B5CF6"/>
      </patternFill>
    </fill>
    <fill>
      <patternFill patternType="solid">
        <fgColor rgb="FFF5F3FF"/>
        <bgColor rgb="FFFAF5FF"/>
      </patternFill>
    </fill>
    <fill>
      <patternFill patternType="solid">
        <fgColor rgb="FFD97706"/>
        <bgColor rgb="FFFF9900"/>
      </patternFill>
    </fill>
    <fill>
      <patternFill patternType="solid">
        <fgColor rgb="FFFFFBEB"/>
        <bgColor rgb="FFFAFAFA"/>
      </patternFill>
    </fill>
    <fill>
      <patternFill patternType="solid">
        <fgColor rgb="FF0891B2"/>
        <bgColor rgb="FF059669"/>
      </patternFill>
    </fill>
    <fill>
      <patternFill patternType="solid">
        <fgColor rgb="FFECFEFF"/>
        <bgColor rgb="FFECFDF5"/>
      </patternFill>
    </fill>
    <fill>
      <patternFill patternType="solid">
        <fgColor rgb="FF374151"/>
        <bgColor rgb="FF2D3748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CFDF5"/>
      </patternFill>
    </fill>
    <fill>
      <patternFill patternType="solid">
        <fgColor rgb="FFFEE2E2"/>
        <bgColor rgb="FFE5E7EB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2D3748"/>
      </left>
      <right style="thin">
        <color rgb="FF2D3748"/>
      </right>
      <top style="thin">
        <color rgb="FF2D3748"/>
      </top>
      <bottom style="thin">
        <color rgb="FF2D3748"/>
      </bottom>
      <diagonal/>
    </border>
    <border diagonalUp="false" diagonalDown="false">
      <left style="thin">
        <color rgb="FF065F46"/>
      </left>
      <right style="thin">
        <color rgb="FF065F46"/>
      </right>
      <top style="thin">
        <color rgb="FF065F46"/>
      </top>
      <bottom style="thin">
        <color rgb="FF065F46"/>
      </bottom>
      <diagonal/>
    </border>
    <border diagonalUp="false" diagonalDown="false"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  <diagonal/>
    </border>
    <border diagonalUp="false" diagonalDown="false">
      <left/>
      <right/>
      <top/>
      <bottom style="thin">
        <color rgb="FFE5E7E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5B21B6"/>
      </left>
      <right style="thin">
        <color rgb="FF5B21B6"/>
      </right>
      <top style="thin">
        <color rgb="FF5B21B6"/>
      </top>
      <bottom style="thin">
        <color rgb="FF5B21B6"/>
      </bottom>
      <diagonal/>
    </border>
    <border diagonalUp="false" diagonalDown="false"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  <border diagonalUp="false" diagonalDown="false">
      <left style="thin">
        <color rgb="FF92400E"/>
      </left>
      <right style="thin">
        <color rgb="FF92400E"/>
      </right>
      <top style="thin">
        <color rgb="FF92400E"/>
      </top>
      <bottom style="thin">
        <color rgb="FF92400E"/>
      </bottom>
      <diagonal/>
    </border>
    <border diagonalUp="false" diagonalDown="false"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 diagonalUp="false" diagonalDown="false">
      <left style="thin">
        <color rgb="FF0369A1"/>
      </left>
      <right style="thin">
        <color rgb="FF0369A1"/>
      </right>
      <top style="thin">
        <color rgb="FF0369A1"/>
      </top>
      <bottom style="thin">
        <color rgb="FF0369A1"/>
      </bottom>
      <diagonal/>
    </border>
    <border diagonalUp="false" diagonalDown="false">
      <left style="thin">
        <color rgb="FFA5F3FC"/>
      </left>
      <right style="thin">
        <color rgb="FFA5F3FC"/>
      </right>
      <top style="thin">
        <color rgb="FFA5F3FC"/>
      </top>
      <bottom style="thin">
        <color rgb="FFA5F3FC"/>
      </bottom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6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5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6" borderId="4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5" borderId="4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9" borderId="4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4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9" fillId="9" borderId="4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5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9" fillId="5" borderId="4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5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5" borderId="4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6" fontId="9" fillId="9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9" borderId="4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6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9" borderId="1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32" fillId="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8" borderId="1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34" fillId="1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7" borderId="1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36" fillId="1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9" borderId="1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38" fillId="1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7" borderId="1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40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5" borderId="1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42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15803D"/>
      </font>
    </dxf>
    <dxf>
      <font>
        <b val="1"/>
        <color rgb="FF92400E"/>
      </font>
    </dxf>
    <dxf>
      <font>
        <b val="1"/>
        <color rgb="FF991B1B"/>
      </font>
    </dxf>
    <dxf>
      <font>
        <b val="1"/>
        <color rgb="FF374151"/>
      </font>
    </dxf>
  </dxfs>
  <colors>
    <indexedColors>
      <rgbColor rgb="FF000000"/>
      <rgbColor rgb="FFFFFFFF"/>
      <rgbColor rgb="FFFF0000"/>
      <rgbColor rgb="FF00FF00"/>
      <rgbColor rgb="FF0000FF"/>
      <rgbColor rgb="FFFFFBEB"/>
      <rgbColor rgb="FFFF00FF"/>
      <rgbColor rgb="FF00FFFF"/>
      <rgbColor rgb="FF991B1B"/>
      <rgbColor rgb="FF15803D"/>
      <rgbColor rgb="FF000080"/>
      <rgbColor rgb="FF808000"/>
      <rgbColor rgb="FF5B21B6"/>
      <rgbColor rgb="FF059669"/>
      <rgbColor rgb="FFD1D5DB"/>
      <rgbColor rgb="FF4B5263"/>
      <rgbColor rgb="FF8B5CF6"/>
      <rgbColor rgb="FF7C3AED"/>
      <rgbColor rgb="FFFEF3C7"/>
      <rgbColor rgb="FFDCFCE7"/>
      <rgbColor rgb="FF660066"/>
      <rgbColor rgb="FFF9FAFB"/>
      <rgbColor rgb="FF0369A1"/>
      <rgbColor rgb="FFDDD6FE"/>
      <rgbColor rgb="FF000080"/>
      <rgbColor rgb="FFFF00FF"/>
      <rgbColor rgb="FFF3F4F6"/>
      <rgbColor rgb="FF00FFFF"/>
      <rgbColor rgb="FF800080"/>
      <rgbColor rgb="FF800000"/>
      <rgbColor rgb="FF0891B2"/>
      <rgbColor rgb="FF0000FF"/>
      <rgbColor rgb="FF00CCFF"/>
      <rgbColor rgb="FFECFEFF"/>
      <rgbColor rgb="FFECFDF5"/>
      <rgbColor rgb="FFFDE68A"/>
      <rgbColor rgb="FFA5F3FC"/>
      <rgbColor rgb="FFF5F3FF"/>
      <rgbColor rgb="FFE5E7EB"/>
      <rgbColor rgb="FFFEE2E2"/>
      <rgbColor rgb="FF3366FF"/>
      <rgbColor rgb="FFA7F3D0"/>
      <rgbColor rgb="FF99CC00"/>
      <rgbColor rgb="FFFAFAFA"/>
      <rgbColor rgb="FFFF9900"/>
      <rgbColor rgb="FFD97706"/>
      <rgbColor rgb="FF6B7280"/>
      <rgbColor rgb="FFFAF5FF"/>
      <rgbColor rgb="FF065F46"/>
      <rgbColor rgb="FF339966"/>
      <rgbColor rgb="FF003300"/>
      <rgbColor rgb="FF1C1F2A"/>
      <rgbColor rgb="FF92400E"/>
      <rgbColor rgb="FF993366"/>
      <rgbColor rgb="FF374151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6" min="5" style="0" width="11"/>
    <col collapsed="false" customWidth="true" hidden="false" outlineLevel="0" max="9" min="7" style="0" width="7"/>
    <col collapsed="false" customWidth="true" hidden="false" outlineLevel="0" max="11" min="10" style="0" width="9"/>
    <col collapsed="false" customWidth="true" hidden="false" outlineLevel="0" max="13" min="12" style="0" width="18"/>
    <col collapsed="false" customWidth="true" hidden="false" outlineLevel="0" max="14" min="14" style="0" width="16"/>
    <col collapsed="false" customWidth="true" hidden="false" outlineLevel="0" max="15" min="15" style="0" width="30"/>
    <col collapsed="false" customWidth="true" hidden="false" outlineLevel="0" max="16" min="16" style="0" width="3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customFormat="false" ht="19.5" hidden="false" customHeight="true" outlineLevel="0" collapsed="false">
      <c r="A3" s="3" t="s">
        <v>17</v>
      </c>
      <c r="B3" s="4" t="s">
        <v>18</v>
      </c>
      <c r="C3" s="5" t="s">
        <v>19</v>
      </c>
      <c r="D3" s="6" t="s">
        <v>20</v>
      </c>
      <c r="E3" s="7" t="s">
        <v>21</v>
      </c>
      <c r="F3" s="7" t="s">
        <v>22</v>
      </c>
      <c r="G3" s="8" t="s">
        <v>23</v>
      </c>
      <c r="H3" s="8" t="s">
        <v>23</v>
      </c>
      <c r="I3" s="8" t="s">
        <v>23</v>
      </c>
      <c r="J3" s="8" t="s">
        <v>23</v>
      </c>
      <c r="K3" s="9" t="s">
        <v>24</v>
      </c>
      <c r="L3" s="10" t="s">
        <v>25</v>
      </c>
      <c r="M3" s="11"/>
      <c r="N3" s="12"/>
      <c r="O3" s="13"/>
      <c r="P3" s="14" t="s">
        <v>26</v>
      </c>
    </row>
    <row r="4" customFormat="false" ht="19.5" hidden="false" customHeight="true" outlineLevel="0" collapsed="false">
      <c r="A4" s="15"/>
      <c r="B4" s="15"/>
      <c r="C4" s="16" t="s">
        <v>27</v>
      </c>
      <c r="D4" s="17" t="s">
        <v>28</v>
      </c>
      <c r="E4" s="18" t="s">
        <v>21</v>
      </c>
      <c r="F4" s="18" t="s">
        <v>29</v>
      </c>
      <c r="G4" s="19" t="s">
        <v>23</v>
      </c>
      <c r="H4" s="19" t="s">
        <v>23</v>
      </c>
      <c r="I4" s="20" t="s">
        <v>30</v>
      </c>
      <c r="J4" s="20" t="s">
        <v>30</v>
      </c>
      <c r="K4" s="9" t="s">
        <v>24</v>
      </c>
      <c r="L4" s="10" t="s">
        <v>25</v>
      </c>
      <c r="M4" s="11"/>
      <c r="N4" s="12"/>
      <c r="O4" s="13"/>
      <c r="P4" s="21" t="s">
        <v>31</v>
      </c>
    </row>
    <row r="5" customFormat="false" ht="19.5" hidden="false" customHeight="true" outlineLevel="0" collapsed="false">
      <c r="A5" s="15"/>
      <c r="B5" s="15"/>
      <c r="C5" s="5" t="s">
        <v>32</v>
      </c>
      <c r="D5" s="6" t="s">
        <v>33</v>
      </c>
      <c r="E5" s="7" t="s">
        <v>21</v>
      </c>
      <c r="F5" s="7" t="s">
        <v>22</v>
      </c>
      <c r="G5" s="8" t="s">
        <v>23</v>
      </c>
      <c r="H5" s="8" t="s">
        <v>23</v>
      </c>
      <c r="I5" s="22" t="s">
        <v>30</v>
      </c>
      <c r="J5" s="22" t="s">
        <v>30</v>
      </c>
      <c r="K5" s="9" t="s">
        <v>24</v>
      </c>
      <c r="L5" s="10" t="s">
        <v>25</v>
      </c>
      <c r="M5" s="11"/>
      <c r="N5" s="12"/>
      <c r="O5" s="13"/>
      <c r="P5" s="14" t="s">
        <v>34</v>
      </c>
    </row>
    <row r="6" customFormat="false" ht="19.5" hidden="false" customHeight="true" outlineLevel="0" collapsed="false">
      <c r="A6" s="15"/>
      <c r="B6" s="15"/>
      <c r="C6" s="16" t="s">
        <v>35</v>
      </c>
      <c r="D6" s="17" t="s">
        <v>36</v>
      </c>
      <c r="E6" s="18" t="s">
        <v>21</v>
      </c>
      <c r="F6" s="18" t="s">
        <v>22</v>
      </c>
      <c r="G6" s="19" t="s">
        <v>23</v>
      </c>
      <c r="H6" s="19" t="s">
        <v>23</v>
      </c>
      <c r="I6" s="20" t="s">
        <v>30</v>
      </c>
      <c r="J6" s="20" t="s">
        <v>30</v>
      </c>
      <c r="K6" s="9" t="s">
        <v>24</v>
      </c>
      <c r="L6" s="10" t="s">
        <v>25</v>
      </c>
      <c r="M6" s="11"/>
      <c r="N6" s="12"/>
      <c r="O6" s="13"/>
      <c r="P6" s="21" t="s">
        <v>37</v>
      </c>
    </row>
    <row r="7" customFormat="false" ht="19.5" hidden="false" customHeight="true" outlineLevel="0" collapsed="false">
      <c r="A7" s="15"/>
      <c r="B7" s="15"/>
      <c r="C7" s="5" t="s">
        <v>38</v>
      </c>
      <c r="D7" s="6" t="s">
        <v>39</v>
      </c>
      <c r="E7" s="7" t="s">
        <v>21</v>
      </c>
      <c r="F7" s="7" t="s">
        <v>29</v>
      </c>
      <c r="G7" s="8" t="s">
        <v>23</v>
      </c>
      <c r="H7" s="8" t="s">
        <v>23</v>
      </c>
      <c r="I7" s="22" t="s">
        <v>30</v>
      </c>
      <c r="J7" s="22" t="s">
        <v>30</v>
      </c>
      <c r="K7" s="9" t="s">
        <v>24</v>
      </c>
      <c r="L7" s="10" t="s">
        <v>25</v>
      </c>
      <c r="M7" s="11"/>
      <c r="N7" s="12"/>
      <c r="O7" s="13"/>
      <c r="P7" s="14" t="s">
        <v>40</v>
      </c>
    </row>
    <row r="8" customFormat="false" ht="19.5" hidden="false" customHeight="true" outlineLevel="0" collapsed="false">
      <c r="A8" s="15"/>
      <c r="B8" s="15"/>
      <c r="C8" s="16" t="s">
        <v>41</v>
      </c>
      <c r="D8" s="17" t="s">
        <v>42</v>
      </c>
      <c r="E8" s="18" t="s">
        <v>43</v>
      </c>
      <c r="F8" s="18" t="s">
        <v>44</v>
      </c>
      <c r="G8" s="19" t="s">
        <v>23</v>
      </c>
      <c r="H8" s="19" t="s">
        <v>23</v>
      </c>
      <c r="I8" s="19" t="s">
        <v>23</v>
      </c>
      <c r="J8" s="19" t="s">
        <v>23</v>
      </c>
      <c r="K8" s="9" t="s">
        <v>24</v>
      </c>
      <c r="L8" s="10" t="s">
        <v>25</v>
      </c>
      <c r="M8" s="11"/>
      <c r="N8" s="12"/>
      <c r="O8" s="13"/>
      <c r="P8" s="21" t="s">
        <v>45</v>
      </c>
    </row>
    <row r="9" customFormat="false" ht="19.5" hidden="false" customHeight="true" outlineLevel="0" collapsed="false">
      <c r="A9" s="15"/>
      <c r="B9" s="15"/>
      <c r="C9" s="5" t="s">
        <v>46</v>
      </c>
      <c r="D9" s="6" t="s">
        <v>47</v>
      </c>
      <c r="E9" s="7" t="s">
        <v>21</v>
      </c>
      <c r="F9" s="7" t="s">
        <v>48</v>
      </c>
      <c r="G9" s="8" t="s">
        <v>23</v>
      </c>
      <c r="H9" s="8" t="s">
        <v>23</v>
      </c>
      <c r="I9" s="8" t="s">
        <v>23</v>
      </c>
      <c r="J9" s="8" t="s">
        <v>23</v>
      </c>
      <c r="K9" s="9" t="s">
        <v>24</v>
      </c>
      <c r="L9" s="10" t="s">
        <v>25</v>
      </c>
      <c r="M9" s="11"/>
      <c r="N9" s="12"/>
      <c r="O9" s="13"/>
      <c r="P9" s="14" t="s">
        <v>49</v>
      </c>
    </row>
    <row r="10" customFormat="false" ht="19.5" hidden="false" customHeight="true" outlineLevel="0" collapsed="false">
      <c r="A10" s="15"/>
      <c r="B10" s="15"/>
      <c r="C10" s="16" t="s">
        <v>50</v>
      </c>
      <c r="D10" s="17" t="s">
        <v>51</v>
      </c>
      <c r="E10" s="18" t="s">
        <v>21</v>
      </c>
      <c r="F10" s="18" t="s">
        <v>52</v>
      </c>
      <c r="G10" s="19" t="s">
        <v>23</v>
      </c>
      <c r="H10" s="19" t="s">
        <v>23</v>
      </c>
      <c r="I10" s="20" t="s">
        <v>30</v>
      </c>
      <c r="J10" s="19" t="s">
        <v>23</v>
      </c>
      <c r="K10" s="9" t="s">
        <v>24</v>
      </c>
      <c r="L10" s="10" t="s">
        <v>25</v>
      </c>
      <c r="M10" s="11"/>
      <c r="N10" s="12"/>
      <c r="O10" s="13"/>
      <c r="P10" s="21" t="s">
        <v>53</v>
      </c>
    </row>
    <row r="11" customFormat="false" ht="19.5" hidden="false" customHeight="true" outlineLevel="0" collapsed="false">
      <c r="A11" s="15"/>
      <c r="B11" s="4" t="s">
        <v>54</v>
      </c>
      <c r="C11" s="5" t="s">
        <v>55</v>
      </c>
      <c r="D11" s="6" t="s">
        <v>56</v>
      </c>
      <c r="E11" s="7" t="s">
        <v>21</v>
      </c>
      <c r="F11" s="7" t="s">
        <v>22</v>
      </c>
      <c r="G11" s="8" t="s">
        <v>23</v>
      </c>
      <c r="H11" s="8" t="s">
        <v>23</v>
      </c>
      <c r="I11" s="8" t="s">
        <v>23</v>
      </c>
      <c r="J11" s="8" t="s">
        <v>23</v>
      </c>
      <c r="K11" s="9" t="s">
        <v>24</v>
      </c>
      <c r="L11" s="10" t="s">
        <v>25</v>
      </c>
      <c r="M11" s="11"/>
      <c r="N11" s="12"/>
      <c r="O11" s="13"/>
      <c r="P11" s="14" t="s">
        <v>57</v>
      </c>
    </row>
    <row r="12" customFormat="false" ht="19.5" hidden="false" customHeight="true" outlineLevel="0" collapsed="false">
      <c r="A12" s="15"/>
      <c r="B12" s="15"/>
      <c r="C12" s="16" t="s">
        <v>58</v>
      </c>
      <c r="D12" s="17" t="s">
        <v>59</v>
      </c>
      <c r="E12" s="18" t="s">
        <v>21</v>
      </c>
      <c r="F12" s="18" t="s">
        <v>22</v>
      </c>
      <c r="G12" s="19" t="s">
        <v>23</v>
      </c>
      <c r="H12" s="19" t="s">
        <v>23</v>
      </c>
      <c r="I12" s="19" t="s">
        <v>23</v>
      </c>
      <c r="J12" s="19" t="s">
        <v>23</v>
      </c>
      <c r="K12" s="9" t="s">
        <v>24</v>
      </c>
      <c r="L12" s="10" t="s">
        <v>25</v>
      </c>
      <c r="M12" s="11"/>
      <c r="N12" s="12"/>
      <c r="O12" s="13"/>
      <c r="P12" s="21" t="s">
        <v>60</v>
      </c>
    </row>
    <row r="13" customFormat="false" ht="19.5" hidden="false" customHeight="true" outlineLevel="0" collapsed="false">
      <c r="A13" s="15"/>
      <c r="B13" s="15"/>
      <c r="C13" s="5" t="s">
        <v>61</v>
      </c>
      <c r="D13" s="6" t="s">
        <v>62</v>
      </c>
      <c r="E13" s="7" t="s">
        <v>21</v>
      </c>
      <c r="F13" s="7" t="s">
        <v>63</v>
      </c>
      <c r="G13" s="8" t="s">
        <v>23</v>
      </c>
      <c r="H13" s="8" t="s">
        <v>23</v>
      </c>
      <c r="I13" s="8" t="s">
        <v>23</v>
      </c>
      <c r="J13" s="22" t="s">
        <v>30</v>
      </c>
      <c r="K13" s="9" t="s">
        <v>24</v>
      </c>
      <c r="L13" s="10" t="s">
        <v>25</v>
      </c>
      <c r="M13" s="11"/>
      <c r="N13" s="12"/>
      <c r="O13" s="13"/>
      <c r="P13" s="14" t="s">
        <v>64</v>
      </c>
    </row>
    <row r="14" customFormat="false" ht="19.5" hidden="false" customHeight="true" outlineLevel="0" collapsed="false">
      <c r="A14" s="15"/>
      <c r="B14" s="15"/>
      <c r="C14" s="16" t="s">
        <v>65</v>
      </c>
      <c r="D14" s="17" t="s">
        <v>66</v>
      </c>
      <c r="E14" s="18" t="s">
        <v>21</v>
      </c>
      <c r="F14" s="18" t="s">
        <v>67</v>
      </c>
      <c r="G14" s="19" t="s">
        <v>23</v>
      </c>
      <c r="H14" s="19" t="s">
        <v>23</v>
      </c>
      <c r="I14" s="19" t="s">
        <v>23</v>
      </c>
      <c r="J14" s="19" t="s">
        <v>23</v>
      </c>
      <c r="K14" s="9" t="s">
        <v>24</v>
      </c>
      <c r="L14" s="10" t="s">
        <v>25</v>
      </c>
      <c r="M14" s="11"/>
      <c r="N14" s="12"/>
      <c r="O14" s="13"/>
      <c r="P14" s="21" t="s">
        <v>68</v>
      </c>
    </row>
    <row r="15" customFormat="false" ht="19.5" hidden="false" customHeight="true" outlineLevel="0" collapsed="false">
      <c r="A15" s="15"/>
      <c r="B15" s="15"/>
      <c r="C15" s="5" t="s">
        <v>69</v>
      </c>
      <c r="D15" s="6" t="s">
        <v>70</v>
      </c>
      <c r="E15" s="7" t="s">
        <v>21</v>
      </c>
      <c r="F15" s="7" t="s">
        <v>67</v>
      </c>
      <c r="G15" s="8" t="s">
        <v>23</v>
      </c>
      <c r="H15" s="8" t="s">
        <v>23</v>
      </c>
      <c r="I15" s="8" t="s">
        <v>23</v>
      </c>
      <c r="J15" s="22" t="s">
        <v>30</v>
      </c>
      <c r="K15" s="9" t="s">
        <v>24</v>
      </c>
      <c r="L15" s="10" t="s">
        <v>25</v>
      </c>
      <c r="M15" s="11"/>
      <c r="N15" s="12"/>
      <c r="O15" s="13"/>
      <c r="P15" s="14" t="s">
        <v>71</v>
      </c>
    </row>
    <row r="16" customFormat="false" ht="19.5" hidden="false" customHeight="true" outlineLevel="0" collapsed="false">
      <c r="A16" s="15"/>
      <c r="B16" s="15"/>
      <c r="C16" s="16" t="s">
        <v>72</v>
      </c>
      <c r="D16" s="17" t="s">
        <v>73</v>
      </c>
      <c r="E16" s="18" t="s">
        <v>21</v>
      </c>
      <c r="F16" s="18" t="s">
        <v>52</v>
      </c>
      <c r="G16" s="19" t="s">
        <v>23</v>
      </c>
      <c r="H16" s="19" t="s">
        <v>23</v>
      </c>
      <c r="I16" s="20" t="s">
        <v>30</v>
      </c>
      <c r="J16" s="19" t="s">
        <v>23</v>
      </c>
      <c r="K16" s="9" t="s">
        <v>24</v>
      </c>
      <c r="L16" s="10" t="s">
        <v>25</v>
      </c>
      <c r="M16" s="11"/>
      <c r="N16" s="12"/>
      <c r="O16" s="13"/>
      <c r="P16" s="21" t="s">
        <v>74</v>
      </c>
    </row>
    <row r="17" customFormat="false" ht="19.5" hidden="false" customHeight="true" outlineLevel="0" collapsed="false">
      <c r="A17" s="15"/>
      <c r="B17" s="4" t="s">
        <v>75</v>
      </c>
      <c r="C17" s="5" t="s">
        <v>76</v>
      </c>
      <c r="D17" s="6" t="s">
        <v>77</v>
      </c>
      <c r="E17" s="7" t="s">
        <v>21</v>
      </c>
      <c r="F17" s="7" t="s">
        <v>22</v>
      </c>
      <c r="G17" s="8" t="s">
        <v>23</v>
      </c>
      <c r="H17" s="8" t="s">
        <v>23</v>
      </c>
      <c r="I17" s="8" t="s">
        <v>23</v>
      </c>
      <c r="J17" s="8" t="s">
        <v>23</v>
      </c>
      <c r="K17" s="9" t="s">
        <v>24</v>
      </c>
      <c r="L17" s="10" t="s">
        <v>25</v>
      </c>
      <c r="M17" s="11"/>
      <c r="N17" s="12"/>
      <c r="O17" s="13"/>
      <c r="P17" s="14" t="s">
        <v>78</v>
      </c>
    </row>
    <row r="18" customFormat="false" ht="19.5" hidden="false" customHeight="true" outlineLevel="0" collapsed="false">
      <c r="A18" s="15"/>
      <c r="B18" s="15"/>
      <c r="C18" s="16" t="s">
        <v>79</v>
      </c>
      <c r="D18" s="17" t="s">
        <v>80</v>
      </c>
      <c r="E18" s="18" t="s">
        <v>21</v>
      </c>
      <c r="F18" s="18" t="s">
        <v>22</v>
      </c>
      <c r="G18" s="19" t="s">
        <v>23</v>
      </c>
      <c r="H18" s="19" t="s">
        <v>23</v>
      </c>
      <c r="I18" s="19" t="s">
        <v>23</v>
      </c>
      <c r="J18" s="20" t="s">
        <v>30</v>
      </c>
      <c r="K18" s="9" t="s">
        <v>24</v>
      </c>
      <c r="L18" s="10" t="s">
        <v>25</v>
      </c>
      <c r="M18" s="11"/>
      <c r="N18" s="12"/>
      <c r="O18" s="13"/>
      <c r="P18" s="21" t="s">
        <v>81</v>
      </c>
    </row>
    <row r="19" customFormat="false" ht="19.5" hidden="false" customHeight="true" outlineLevel="0" collapsed="false">
      <c r="A19" s="15"/>
      <c r="B19" s="15"/>
      <c r="C19" s="5" t="s">
        <v>82</v>
      </c>
      <c r="D19" s="6" t="s">
        <v>83</v>
      </c>
      <c r="E19" s="7" t="s">
        <v>21</v>
      </c>
      <c r="F19" s="7" t="s">
        <v>22</v>
      </c>
      <c r="G19" s="8" t="s">
        <v>23</v>
      </c>
      <c r="H19" s="8" t="s">
        <v>23</v>
      </c>
      <c r="I19" s="8" t="s">
        <v>23</v>
      </c>
      <c r="J19" s="22" t="s">
        <v>30</v>
      </c>
      <c r="K19" s="9" t="s">
        <v>24</v>
      </c>
      <c r="L19" s="10" t="s">
        <v>25</v>
      </c>
      <c r="M19" s="11"/>
      <c r="N19" s="12"/>
      <c r="O19" s="13"/>
      <c r="P19" s="14" t="s">
        <v>84</v>
      </c>
    </row>
    <row r="20" customFormat="false" ht="19.5" hidden="false" customHeight="true" outlineLevel="0" collapsed="false">
      <c r="A20" s="15"/>
      <c r="B20" s="15"/>
      <c r="C20" s="16" t="s">
        <v>85</v>
      </c>
      <c r="D20" s="17" t="s">
        <v>86</v>
      </c>
      <c r="E20" s="18" t="s">
        <v>21</v>
      </c>
      <c r="F20" s="18" t="s">
        <v>22</v>
      </c>
      <c r="G20" s="19" t="s">
        <v>23</v>
      </c>
      <c r="H20" s="19" t="s">
        <v>23</v>
      </c>
      <c r="I20" s="19" t="s">
        <v>23</v>
      </c>
      <c r="J20" s="20" t="s">
        <v>30</v>
      </c>
      <c r="K20" s="9" t="s">
        <v>24</v>
      </c>
      <c r="L20" s="10" t="s">
        <v>25</v>
      </c>
      <c r="M20" s="11"/>
      <c r="N20" s="12"/>
      <c r="O20" s="13"/>
      <c r="P20" s="21" t="s">
        <v>87</v>
      </c>
    </row>
    <row r="21" customFormat="false" ht="19.5" hidden="false" customHeight="true" outlineLevel="0" collapsed="false">
      <c r="A21" s="15"/>
      <c r="B21" s="15"/>
      <c r="C21" s="5" t="s">
        <v>88</v>
      </c>
      <c r="D21" s="6" t="s">
        <v>89</v>
      </c>
      <c r="E21" s="7" t="s">
        <v>21</v>
      </c>
      <c r="F21" s="7" t="s">
        <v>22</v>
      </c>
      <c r="G21" s="8" t="s">
        <v>23</v>
      </c>
      <c r="H21" s="8" t="s">
        <v>23</v>
      </c>
      <c r="I21" s="8" t="s">
        <v>23</v>
      </c>
      <c r="J21" s="22" t="s">
        <v>30</v>
      </c>
      <c r="K21" s="9" t="s">
        <v>24</v>
      </c>
      <c r="L21" s="10" t="s">
        <v>25</v>
      </c>
      <c r="M21" s="11"/>
      <c r="N21" s="12"/>
      <c r="O21" s="13"/>
      <c r="P21" s="14" t="s">
        <v>90</v>
      </c>
    </row>
    <row r="22" customFormat="false" ht="19.5" hidden="false" customHeight="true" outlineLevel="0" collapsed="false">
      <c r="A22" s="15"/>
      <c r="B22" s="15"/>
      <c r="C22" s="16" t="s">
        <v>91</v>
      </c>
      <c r="D22" s="17" t="s">
        <v>92</v>
      </c>
      <c r="E22" s="18" t="s">
        <v>21</v>
      </c>
      <c r="F22" s="18" t="s">
        <v>22</v>
      </c>
      <c r="G22" s="19" t="s">
        <v>23</v>
      </c>
      <c r="H22" s="19" t="s">
        <v>23</v>
      </c>
      <c r="I22" s="19" t="s">
        <v>23</v>
      </c>
      <c r="J22" s="20" t="s">
        <v>30</v>
      </c>
      <c r="K22" s="9" t="s">
        <v>24</v>
      </c>
      <c r="L22" s="10" t="s">
        <v>25</v>
      </c>
      <c r="M22" s="11"/>
      <c r="N22" s="12"/>
      <c r="O22" s="13"/>
      <c r="P22" s="21" t="s">
        <v>93</v>
      </c>
    </row>
    <row r="23" customFormat="false" ht="19.5" hidden="false" customHeight="true" outlineLevel="0" collapsed="false">
      <c r="A23" s="15"/>
      <c r="B23" s="15"/>
      <c r="C23" s="5" t="s">
        <v>94</v>
      </c>
      <c r="D23" s="6" t="s">
        <v>95</v>
      </c>
      <c r="E23" s="7" t="s">
        <v>21</v>
      </c>
      <c r="F23" s="7" t="s">
        <v>22</v>
      </c>
      <c r="G23" s="8" t="s">
        <v>23</v>
      </c>
      <c r="H23" s="8" t="s">
        <v>23</v>
      </c>
      <c r="I23" s="8" t="s">
        <v>23</v>
      </c>
      <c r="J23" s="22" t="s">
        <v>30</v>
      </c>
      <c r="K23" s="9" t="s">
        <v>24</v>
      </c>
      <c r="L23" s="10" t="s">
        <v>25</v>
      </c>
      <c r="M23" s="11"/>
      <c r="N23" s="12"/>
      <c r="O23" s="13"/>
      <c r="P23" s="14" t="s">
        <v>96</v>
      </c>
    </row>
    <row r="24" customFormat="false" ht="19.5" hidden="false" customHeight="true" outlineLevel="0" collapsed="false">
      <c r="A24" s="15"/>
      <c r="B24" s="15"/>
      <c r="C24" s="16" t="s">
        <v>97</v>
      </c>
      <c r="D24" s="17" t="s">
        <v>98</v>
      </c>
      <c r="E24" s="18" t="s">
        <v>21</v>
      </c>
      <c r="F24" s="18" t="s">
        <v>22</v>
      </c>
      <c r="G24" s="19" t="s">
        <v>23</v>
      </c>
      <c r="H24" s="19" t="s">
        <v>23</v>
      </c>
      <c r="I24" s="19" t="s">
        <v>23</v>
      </c>
      <c r="J24" s="20" t="s">
        <v>30</v>
      </c>
      <c r="K24" s="9" t="s">
        <v>24</v>
      </c>
      <c r="L24" s="10" t="s">
        <v>25</v>
      </c>
      <c r="M24" s="11"/>
      <c r="N24" s="12"/>
      <c r="O24" s="13"/>
      <c r="P24" s="21" t="s">
        <v>99</v>
      </c>
    </row>
    <row r="25" customFormat="false" ht="19.5" hidden="false" customHeight="true" outlineLevel="0" collapsed="false">
      <c r="A25" s="15"/>
      <c r="B25" s="15"/>
      <c r="C25" s="5" t="s">
        <v>100</v>
      </c>
      <c r="D25" s="6" t="s">
        <v>101</v>
      </c>
      <c r="E25" s="7" t="s">
        <v>21</v>
      </c>
      <c r="F25" s="7" t="s">
        <v>22</v>
      </c>
      <c r="G25" s="8" t="s">
        <v>23</v>
      </c>
      <c r="H25" s="8" t="s">
        <v>23</v>
      </c>
      <c r="I25" s="8" t="s">
        <v>23</v>
      </c>
      <c r="J25" s="8" t="s">
        <v>23</v>
      </c>
      <c r="K25" s="9" t="s">
        <v>24</v>
      </c>
      <c r="L25" s="10" t="s">
        <v>25</v>
      </c>
      <c r="M25" s="11"/>
      <c r="N25" s="12"/>
      <c r="O25" s="13"/>
      <c r="P25" s="14" t="s">
        <v>102</v>
      </c>
    </row>
    <row r="26" customFormat="false" ht="19.5" hidden="false" customHeight="true" outlineLevel="0" collapsed="false">
      <c r="A26" s="15"/>
      <c r="B26" s="15"/>
      <c r="C26" s="16" t="s">
        <v>103</v>
      </c>
      <c r="D26" s="17" t="s">
        <v>104</v>
      </c>
      <c r="E26" s="18" t="s">
        <v>21</v>
      </c>
      <c r="F26" s="18" t="s">
        <v>22</v>
      </c>
      <c r="G26" s="19" t="s">
        <v>23</v>
      </c>
      <c r="H26" s="19" t="s">
        <v>23</v>
      </c>
      <c r="I26" s="19" t="s">
        <v>23</v>
      </c>
      <c r="J26" s="20" t="s">
        <v>30</v>
      </c>
      <c r="K26" s="9" t="s">
        <v>24</v>
      </c>
      <c r="L26" s="10" t="s">
        <v>25</v>
      </c>
      <c r="M26" s="11"/>
      <c r="N26" s="12"/>
      <c r="O26" s="13"/>
      <c r="P26" s="21" t="s">
        <v>105</v>
      </c>
    </row>
    <row r="27" customFormat="false" ht="19.5" hidden="false" customHeight="true" outlineLevel="0" collapsed="false">
      <c r="A27" s="15"/>
      <c r="B27" s="15"/>
      <c r="C27" s="5" t="s">
        <v>106</v>
      </c>
      <c r="D27" s="6" t="s">
        <v>107</v>
      </c>
      <c r="E27" s="7" t="s">
        <v>21</v>
      </c>
      <c r="F27" s="7" t="s">
        <v>22</v>
      </c>
      <c r="G27" s="8" t="s">
        <v>23</v>
      </c>
      <c r="H27" s="8" t="s">
        <v>23</v>
      </c>
      <c r="I27" s="22" t="s">
        <v>30</v>
      </c>
      <c r="J27" s="8" t="s">
        <v>23</v>
      </c>
      <c r="K27" s="9" t="s">
        <v>24</v>
      </c>
      <c r="L27" s="10" t="s">
        <v>25</v>
      </c>
      <c r="M27" s="11"/>
      <c r="N27" s="12"/>
      <c r="O27" s="13"/>
      <c r="P27" s="14" t="s">
        <v>108</v>
      </c>
    </row>
    <row r="28" customFormat="false" ht="19.5" hidden="false" customHeight="true" outlineLevel="0" collapsed="false">
      <c r="A28" s="15"/>
      <c r="B28" s="15"/>
      <c r="C28" s="16" t="s">
        <v>109</v>
      </c>
      <c r="D28" s="17" t="s">
        <v>110</v>
      </c>
      <c r="E28" s="18" t="s">
        <v>21</v>
      </c>
      <c r="F28" s="18" t="s">
        <v>22</v>
      </c>
      <c r="G28" s="19" t="s">
        <v>23</v>
      </c>
      <c r="H28" s="19" t="s">
        <v>23</v>
      </c>
      <c r="I28" s="19" t="s">
        <v>23</v>
      </c>
      <c r="J28" s="19" t="s">
        <v>23</v>
      </c>
      <c r="K28" s="9" t="s">
        <v>24</v>
      </c>
      <c r="L28" s="10" t="s">
        <v>25</v>
      </c>
      <c r="M28" s="11"/>
      <c r="N28" s="12"/>
      <c r="O28" s="13"/>
      <c r="P28" s="21" t="s">
        <v>111</v>
      </c>
    </row>
    <row r="29" customFormat="false" ht="19.5" hidden="false" customHeight="true" outlineLevel="0" collapsed="false">
      <c r="A29" s="15"/>
      <c r="B29" s="15"/>
      <c r="C29" s="5" t="s">
        <v>112</v>
      </c>
      <c r="D29" s="6" t="s">
        <v>113</v>
      </c>
      <c r="E29" s="7" t="s">
        <v>114</v>
      </c>
      <c r="F29" s="7" t="s">
        <v>44</v>
      </c>
      <c r="G29" s="8" t="s">
        <v>23</v>
      </c>
      <c r="H29" s="8" t="s">
        <v>23</v>
      </c>
      <c r="I29" s="8" t="s">
        <v>23</v>
      </c>
      <c r="J29" s="8" t="s">
        <v>23</v>
      </c>
      <c r="K29" s="9" t="s">
        <v>24</v>
      </c>
      <c r="L29" s="10" t="s">
        <v>25</v>
      </c>
      <c r="M29" s="11"/>
      <c r="N29" s="12"/>
      <c r="O29" s="13"/>
      <c r="P29" s="14" t="s">
        <v>115</v>
      </c>
    </row>
    <row r="30" customFormat="false" ht="19.5" hidden="false" customHeight="true" outlineLevel="0" collapsed="false">
      <c r="A30" s="15"/>
      <c r="B30" s="15"/>
      <c r="C30" s="16" t="s">
        <v>116</v>
      </c>
      <c r="D30" s="17" t="s">
        <v>117</v>
      </c>
      <c r="E30" s="18" t="s">
        <v>114</v>
      </c>
      <c r="F30" s="18" t="s">
        <v>44</v>
      </c>
      <c r="G30" s="19" t="s">
        <v>23</v>
      </c>
      <c r="H30" s="19" t="s">
        <v>23</v>
      </c>
      <c r="I30" s="20" t="s">
        <v>30</v>
      </c>
      <c r="J30" s="19" t="s">
        <v>23</v>
      </c>
      <c r="K30" s="9" t="s">
        <v>24</v>
      </c>
      <c r="L30" s="10" t="s">
        <v>25</v>
      </c>
      <c r="M30" s="11"/>
      <c r="N30" s="12"/>
      <c r="O30" s="13"/>
      <c r="P30" s="21" t="s">
        <v>118</v>
      </c>
    </row>
    <row r="31" customFormat="false" ht="19.5" hidden="false" customHeight="true" outlineLevel="0" collapsed="false">
      <c r="A31" s="15"/>
      <c r="B31" s="4" t="s">
        <v>119</v>
      </c>
      <c r="C31" s="5" t="s">
        <v>120</v>
      </c>
      <c r="D31" s="6" t="s">
        <v>121</v>
      </c>
      <c r="E31" s="7" t="s">
        <v>21</v>
      </c>
      <c r="F31" s="7" t="s">
        <v>67</v>
      </c>
      <c r="G31" s="8" t="s">
        <v>23</v>
      </c>
      <c r="H31" s="8" t="s">
        <v>23</v>
      </c>
      <c r="I31" s="8" t="s">
        <v>23</v>
      </c>
      <c r="J31" s="8" t="s">
        <v>23</v>
      </c>
      <c r="K31" s="9" t="s">
        <v>24</v>
      </c>
      <c r="L31" s="10" t="s">
        <v>25</v>
      </c>
      <c r="M31" s="11"/>
      <c r="N31" s="12"/>
      <c r="O31" s="13"/>
      <c r="P31" s="14" t="s">
        <v>122</v>
      </c>
    </row>
    <row r="32" customFormat="false" ht="19.5" hidden="false" customHeight="true" outlineLevel="0" collapsed="false">
      <c r="A32" s="15"/>
      <c r="B32" s="15"/>
      <c r="C32" s="16" t="s">
        <v>123</v>
      </c>
      <c r="D32" s="17" t="s">
        <v>124</v>
      </c>
      <c r="E32" s="18" t="s">
        <v>21</v>
      </c>
      <c r="F32" s="18" t="s">
        <v>67</v>
      </c>
      <c r="G32" s="19" t="s">
        <v>23</v>
      </c>
      <c r="H32" s="19" t="s">
        <v>23</v>
      </c>
      <c r="I32" s="19" t="s">
        <v>23</v>
      </c>
      <c r="J32" s="19" t="s">
        <v>23</v>
      </c>
      <c r="K32" s="9" t="s">
        <v>24</v>
      </c>
      <c r="L32" s="10" t="s">
        <v>25</v>
      </c>
      <c r="M32" s="11"/>
      <c r="N32" s="12"/>
      <c r="O32" s="13"/>
      <c r="P32" s="21" t="s">
        <v>125</v>
      </c>
    </row>
    <row r="33" customFormat="false" ht="19.5" hidden="false" customHeight="true" outlineLevel="0" collapsed="false">
      <c r="A33" s="15"/>
      <c r="B33" s="15"/>
      <c r="C33" s="5" t="s">
        <v>126</v>
      </c>
      <c r="D33" s="6" t="s">
        <v>127</v>
      </c>
      <c r="E33" s="7" t="s">
        <v>21</v>
      </c>
      <c r="F33" s="7" t="s">
        <v>67</v>
      </c>
      <c r="G33" s="8" t="s">
        <v>23</v>
      </c>
      <c r="H33" s="8" t="s">
        <v>23</v>
      </c>
      <c r="I33" s="8" t="s">
        <v>23</v>
      </c>
      <c r="J33" s="8" t="s">
        <v>23</v>
      </c>
      <c r="K33" s="9" t="s">
        <v>24</v>
      </c>
      <c r="L33" s="10" t="s">
        <v>25</v>
      </c>
      <c r="M33" s="11"/>
      <c r="N33" s="12"/>
      <c r="O33" s="13"/>
      <c r="P33" s="14" t="s">
        <v>128</v>
      </c>
    </row>
    <row r="34" customFormat="false" ht="19.5" hidden="false" customHeight="true" outlineLevel="0" collapsed="false">
      <c r="A34" s="15"/>
      <c r="B34" s="15"/>
      <c r="C34" s="16" t="s">
        <v>129</v>
      </c>
      <c r="D34" s="17" t="s">
        <v>130</v>
      </c>
      <c r="E34" s="18" t="s">
        <v>21</v>
      </c>
      <c r="F34" s="18" t="s">
        <v>131</v>
      </c>
      <c r="G34" s="19" t="s">
        <v>23</v>
      </c>
      <c r="H34" s="19" t="s">
        <v>23</v>
      </c>
      <c r="I34" s="19" t="s">
        <v>23</v>
      </c>
      <c r="J34" s="20" t="s">
        <v>30</v>
      </c>
      <c r="K34" s="9" t="s">
        <v>24</v>
      </c>
      <c r="L34" s="10" t="s">
        <v>25</v>
      </c>
      <c r="M34" s="11"/>
      <c r="N34" s="12"/>
      <c r="O34" s="13"/>
      <c r="P34" s="21" t="s">
        <v>132</v>
      </c>
    </row>
    <row r="35" customFormat="false" ht="19.5" hidden="false" customHeight="true" outlineLevel="0" collapsed="false">
      <c r="A35" s="15"/>
      <c r="B35" s="15"/>
      <c r="C35" s="5" t="s">
        <v>133</v>
      </c>
      <c r="D35" s="6" t="s">
        <v>134</v>
      </c>
      <c r="E35" s="7" t="s">
        <v>21</v>
      </c>
      <c r="F35" s="7" t="s">
        <v>67</v>
      </c>
      <c r="G35" s="8" t="s">
        <v>23</v>
      </c>
      <c r="H35" s="8" t="s">
        <v>23</v>
      </c>
      <c r="I35" s="8" t="s">
        <v>23</v>
      </c>
      <c r="J35" s="22" t="s">
        <v>30</v>
      </c>
      <c r="K35" s="9" t="s">
        <v>24</v>
      </c>
      <c r="L35" s="10" t="s">
        <v>25</v>
      </c>
      <c r="M35" s="11"/>
      <c r="N35" s="12"/>
      <c r="O35" s="13"/>
      <c r="P35" s="14" t="s">
        <v>135</v>
      </c>
    </row>
    <row r="36" customFormat="false" ht="19.5" hidden="false" customHeight="true" outlineLevel="0" collapsed="false">
      <c r="A36" s="15"/>
      <c r="B36" s="15"/>
      <c r="C36" s="16" t="s">
        <v>136</v>
      </c>
      <c r="D36" s="17" t="s">
        <v>137</v>
      </c>
      <c r="E36" s="18" t="s">
        <v>21</v>
      </c>
      <c r="F36" s="18" t="s">
        <v>63</v>
      </c>
      <c r="G36" s="19" t="s">
        <v>23</v>
      </c>
      <c r="H36" s="19" t="s">
        <v>23</v>
      </c>
      <c r="I36" s="20" t="s">
        <v>30</v>
      </c>
      <c r="J36" s="20" t="s">
        <v>30</v>
      </c>
      <c r="K36" s="9" t="s">
        <v>24</v>
      </c>
      <c r="L36" s="10" t="s">
        <v>25</v>
      </c>
      <c r="M36" s="11"/>
      <c r="N36" s="12"/>
      <c r="O36" s="13"/>
      <c r="P36" s="21" t="s">
        <v>138</v>
      </c>
    </row>
    <row r="37" customFormat="false" ht="19.5" hidden="false" customHeight="true" outlineLevel="0" collapsed="false">
      <c r="A37" s="15"/>
      <c r="B37" s="15"/>
      <c r="C37" s="5" t="s">
        <v>139</v>
      </c>
      <c r="D37" s="6" t="s">
        <v>140</v>
      </c>
      <c r="E37" s="7" t="s">
        <v>21</v>
      </c>
      <c r="F37" s="7" t="s">
        <v>63</v>
      </c>
      <c r="G37" s="8" t="s">
        <v>23</v>
      </c>
      <c r="H37" s="8" t="s">
        <v>23</v>
      </c>
      <c r="I37" s="22" t="s">
        <v>30</v>
      </c>
      <c r="J37" s="22" t="s">
        <v>30</v>
      </c>
      <c r="K37" s="9" t="s">
        <v>24</v>
      </c>
      <c r="L37" s="10" t="s">
        <v>25</v>
      </c>
      <c r="M37" s="11"/>
      <c r="N37" s="12"/>
      <c r="O37" s="13"/>
      <c r="P37" s="14" t="s">
        <v>141</v>
      </c>
    </row>
    <row r="38" customFormat="false" ht="19.5" hidden="false" customHeight="true" outlineLevel="0" collapsed="false">
      <c r="A38" s="15"/>
      <c r="B38" s="15"/>
      <c r="C38" s="16" t="s">
        <v>142</v>
      </c>
      <c r="D38" s="17" t="s">
        <v>143</v>
      </c>
      <c r="E38" s="18" t="s">
        <v>21</v>
      </c>
      <c r="F38" s="18" t="s">
        <v>144</v>
      </c>
      <c r="G38" s="19" t="s">
        <v>23</v>
      </c>
      <c r="H38" s="19" t="s">
        <v>23</v>
      </c>
      <c r="I38" s="20" t="s">
        <v>30</v>
      </c>
      <c r="J38" s="19" t="s">
        <v>23</v>
      </c>
      <c r="K38" s="9" t="s">
        <v>24</v>
      </c>
      <c r="L38" s="10" t="s">
        <v>25</v>
      </c>
      <c r="M38" s="11"/>
      <c r="N38" s="12"/>
      <c r="O38" s="13"/>
      <c r="P38" s="21" t="s">
        <v>145</v>
      </c>
    </row>
    <row r="39" customFormat="false" ht="19.5" hidden="false" customHeight="true" outlineLevel="0" collapsed="false">
      <c r="A39" s="15"/>
      <c r="B39" s="4" t="s">
        <v>146</v>
      </c>
      <c r="C39" s="5" t="s">
        <v>147</v>
      </c>
      <c r="D39" s="6" t="s">
        <v>148</v>
      </c>
      <c r="E39" s="7" t="s">
        <v>21</v>
      </c>
      <c r="F39" s="7" t="s">
        <v>149</v>
      </c>
      <c r="G39" s="8" t="s">
        <v>23</v>
      </c>
      <c r="H39" s="8" t="s">
        <v>23</v>
      </c>
      <c r="I39" s="8" t="s">
        <v>23</v>
      </c>
      <c r="J39" s="22" t="s">
        <v>30</v>
      </c>
      <c r="K39" s="9" t="s">
        <v>24</v>
      </c>
      <c r="L39" s="10" t="s">
        <v>25</v>
      </c>
      <c r="M39" s="11"/>
      <c r="N39" s="12"/>
      <c r="O39" s="13"/>
      <c r="P39" s="14" t="s">
        <v>150</v>
      </c>
    </row>
    <row r="40" customFormat="false" ht="19.5" hidden="false" customHeight="true" outlineLevel="0" collapsed="false">
      <c r="A40" s="15"/>
      <c r="B40" s="15"/>
      <c r="C40" s="16" t="s">
        <v>151</v>
      </c>
      <c r="D40" s="17" t="s">
        <v>152</v>
      </c>
      <c r="E40" s="18" t="s">
        <v>21</v>
      </c>
      <c r="F40" s="18" t="s">
        <v>149</v>
      </c>
      <c r="G40" s="19" t="s">
        <v>23</v>
      </c>
      <c r="H40" s="19" t="s">
        <v>23</v>
      </c>
      <c r="I40" s="19" t="s">
        <v>23</v>
      </c>
      <c r="J40" s="20" t="s">
        <v>30</v>
      </c>
      <c r="K40" s="9" t="s">
        <v>24</v>
      </c>
      <c r="L40" s="10" t="s">
        <v>25</v>
      </c>
      <c r="M40" s="11"/>
      <c r="N40" s="12"/>
      <c r="O40" s="13"/>
      <c r="P40" s="21" t="s">
        <v>153</v>
      </c>
    </row>
    <row r="41" customFormat="false" ht="19.5" hidden="false" customHeight="true" outlineLevel="0" collapsed="false">
      <c r="A41" s="15"/>
      <c r="B41" s="15"/>
      <c r="C41" s="5" t="s">
        <v>154</v>
      </c>
      <c r="D41" s="6" t="s">
        <v>155</v>
      </c>
      <c r="E41" s="7" t="s">
        <v>21</v>
      </c>
      <c r="F41" s="7" t="s">
        <v>149</v>
      </c>
      <c r="G41" s="8" t="s">
        <v>23</v>
      </c>
      <c r="H41" s="8" t="s">
        <v>23</v>
      </c>
      <c r="I41" s="8" t="s">
        <v>23</v>
      </c>
      <c r="J41" s="22" t="s">
        <v>30</v>
      </c>
      <c r="K41" s="9" t="s">
        <v>24</v>
      </c>
      <c r="L41" s="10" t="s">
        <v>25</v>
      </c>
      <c r="M41" s="11"/>
      <c r="N41" s="12"/>
      <c r="O41" s="13"/>
      <c r="P41" s="14" t="s">
        <v>156</v>
      </c>
    </row>
    <row r="42" customFormat="false" ht="19.5" hidden="false" customHeight="true" outlineLevel="0" collapsed="false">
      <c r="A42" s="15"/>
      <c r="B42" s="15"/>
      <c r="C42" s="16" t="s">
        <v>157</v>
      </c>
      <c r="D42" s="17" t="s">
        <v>158</v>
      </c>
      <c r="E42" s="18" t="s">
        <v>21</v>
      </c>
      <c r="F42" s="18" t="s">
        <v>149</v>
      </c>
      <c r="G42" s="19" t="s">
        <v>23</v>
      </c>
      <c r="H42" s="20" t="s">
        <v>30</v>
      </c>
      <c r="I42" s="19" t="s">
        <v>23</v>
      </c>
      <c r="J42" s="20" t="s">
        <v>30</v>
      </c>
      <c r="K42" s="9" t="s">
        <v>24</v>
      </c>
      <c r="L42" s="10" t="s">
        <v>25</v>
      </c>
      <c r="M42" s="11"/>
      <c r="N42" s="12"/>
      <c r="O42" s="13"/>
      <c r="P42" s="21" t="s">
        <v>159</v>
      </c>
    </row>
    <row r="43" customFormat="false" ht="19.5" hidden="false" customHeight="true" outlineLevel="0" collapsed="false">
      <c r="A43" s="15"/>
      <c r="B43" s="15"/>
      <c r="C43" s="5" t="s">
        <v>160</v>
      </c>
      <c r="D43" s="6" t="s">
        <v>161</v>
      </c>
      <c r="E43" s="7" t="s">
        <v>21</v>
      </c>
      <c r="F43" s="7" t="s">
        <v>63</v>
      </c>
      <c r="G43" s="8" t="s">
        <v>23</v>
      </c>
      <c r="H43" s="8" t="s">
        <v>23</v>
      </c>
      <c r="I43" s="8" t="s">
        <v>23</v>
      </c>
      <c r="J43" s="22" t="s">
        <v>30</v>
      </c>
      <c r="K43" s="9" t="s">
        <v>24</v>
      </c>
      <c r="L43" s="10" t="s">
        <v>25</v>
      </c>
      <c r="M43" s="11"/>
      <c r="N43" s="12"/>
      <c r="O43" s="13"/>
      <c r="P43" s="14" t="s">
        <v>162</v>
      </c>
    </row>
    <row r="44" customFormat="false" ht="19.5" hidden="false" customHeight="true" outlineLevel="0" collapsed="false">
      <c r="A44" s="15"/>
      <c r="B44" s="15"/>
      <c r="C44" s="16" t="s">
        <v>163</v>
      </c>
      <c r="D44" s="17" t="s">
        <v>164</v>
      </c>
      <c r="E44" s="18" t="s">
        <v>21</v>
      </c>
      <c r="F44" s="18" t="s">
        <v>63</v>
      </c>
      <c r="G44" s="19" t="s">
        <v>23</v>
      </c>
      <c r="H44" s="19" t="s">
        <v>23</v>
      </c>
      <c r="I44" s="20" t="s">
        <v>30</v>
      </c>
      <c r="J44" s="20" t="s">
        <v>30</v>
      </c>
      <c r="K44" s="9" t="s">
        <v>24</v>
      </c>
      <c r="L44" s="10" t="s">
        <v>25</v>
      </c>
      <c r="M44" s="11"/>
      <c r="N44" s="12"/>
      <c r="O44" s="13"/>
      <c r="P44" s="21" t="s">
        <v>165</v>
      </c>
    </row>
    <row r="45" customFormat="false" ht="19.5" hidden="false" customHeight="true" outlineLevel="0" collapsed="false">
      <c r="A45" s="15"/>
      <c r="B45" s="4" t="s">
        <v>166</v>
      </c>
      <c r="C45" s="5" t="s">
        <v>167</v>
      </c>
      <c r="D45" s="6" t="s">
        <v>168</v>
      </c>
      <c r="E45" s="7" t="s">
        <v>21</v>
      </c>
      <c r="F45" s="7" t="s">
        <v>169</v>
      </c>
      <c r="G45" s="8" t="s">
        <v>23</v>
      </c>
      <c r="H45" s="22" t="s">
        <v>30</v>
      </c>
      <c r="I45" s="8" t="s">
        <v>23</v>
      </c>
      <c r="J45" s="22" t="s">
        <v>30</v>
      </c>
      <c r="K45" s="9" t="s">
        <v>24</v>
      </c>
      <c r="L45" s="10" t="s">
        <v>25</v>
      </c>
      <c r="M45" s="11"/>
      <c r="N45" s="12"/>
      <c r="O45" s="13"/>
      <c r="P45" s="14" t="s">
        <v>170</v>
      </c>
    </row>
    <row r="46" customFormat="false" ht="19.5" hidden="false" customHeight="true" outlineLevel="0" collapsed="false">
      <c r="A46" s="15"/>
      <c r="B46" s="15"/>
      <c r="C46" s="16" t="s">
        <v>171</v>
      </c>
      <c r="D46" s="17" t="s">
        <v>172</v>
      </c>
      <c r="E46" s="18" t="s">
        <v>21</v>
      </c>
      <c r="F46" s="18" t="s">
        <v>169</v>
      </c>
      <c r="G46" s="19" t="s">
        <v>23</v>
      </c>
      <c r="H46" s="20" t="s">
        <v>30</v>
      </c>
      <c r="I46" s="19" t="s">
        <v>23</v>
      </c>
      <c r="J46" s="20" t="s">
        <v>30</v>
      </c>
      <c r="K46" s="9" t="s">
        <v>24</v>
      </c>
      <c r="L46" s="10" t="s">
        <v>25</v>
      </c>
      <c r="M46" s="11"/>
      <c r="N46" s="12"/>
      <c r="O46" s="13"/>
      <c r="P46" s="21" t="s">
        <v>173</v>
      </c>
    </row>
    <row r="47" customFormat="false" ht="19.5" hidden="false" customHeight="true" outlineLevel="0" collapsed="false">
      <c r="A47" s="15"/>
      <c r="B47" s="15"/>
      <c r="C47" s="5" t="s">
        <v>174</v>
      </c>
      <c r="D47" s="6" t="s">
        <v>175</v>
      </c>
      <c r="E47" s="7" t="s">
        <v>21</v>
      </c>
      <c r="F47" s="7" t="s">
        <v>169</v>
      </c>
      <c r="G47" s="8" t="s">
        <v>23</v>
      </c>
      <c r="H47" s="22" t="s">
        <v>30</v>
      </c>
      <c r="I47" s="8" t="s">
        <v>23</v>
      </c>
      <c r="J47" s="22" t="s">
        <v>30</v>
      </c>
      <c r="K47" s="9" t="s">
        <v>24</v>
      </c>
      <c r="L47" s="10" t="s">
        <v>25</v>
      </c>
      <c r="M47" s="11"/>
      <c r="N47" s="12"/>
      <c r="O47" s="13"/>
      <c r="P47" s="14" t="s">
        <v>176</v>
      </c>
    </row>
    <row r="48" customFormat="false" ht="19.5" hidden="false" customHeight="true" outlineLevel="0" collapsed="false">
      <c r="A48" s="15"/>
      <c r="B48" s="15"/>
      <c r="C48" s="16" t="s">
        <v>177</v>
      </c>
      <c r="D48" s="17" t="s">
        <v>178</v>
      </c>
      <c r="E48" s="18" t="s">
        <v>21</v>
      </c>
      <c r="F48" s="18" t="s">
        <v>169</v>
      </c>
      <c r="G48" s="19" t="s">
        <v>23</v>
      </c>
      <c r="H48" s="20" t="s">
        <v>30</v>
      </c>
      <c r="I48" s="19" t="s">
        <v>23</v>
      </c>
      <c r="J48" s="20" t="s">
        <v>30</v>
      </c>
      <c r="K48" s="9" t="s">
        <v>24</v>
      </c>
      <c r="L48" s="10" t="s">
        <v>25</v>
      </c>
      <c r="M48" s="11"/>
      <c r="N48" s="12"/>
      <c r="O48" s="13"/>
      <c r="P48" s="21" t="s">
        <v>179</v>
      </c>
    </row>
    <row r="49" customFormat="false" ht="19.5" hidden="false" customHeight="true" outlineLevel="0" collapsed="false">
      <c r="A49" s="15"/>
      <c r="B49" s="15"/>
      <c r="C49" s="5" t="s">
        <v>180</v>
      </c>
      <c r="D49" s="6" t="s">
        <v>181</v>
      </c>
      <c r="E49" s="7" t="s">
        <v>21</v>
      </c>
      <c r="F49" s="7" t="s">
        <v>63</v>
      </c>
      <c r="G49" s="8" t="s">
        <v>23</v>
      </c>
      <c r="H49" s="22" t="s">
        <v>30</v>
      </c>
      <c r="I49" s="8" t="s">
        <v>23</v>
      </c>
      <c r="J49" s="22" t="s">
        <v>30</v>
      </c>
      <c r="K49" s="9" t="s">
        <v>24</v>
      </c>
      <c r="L49" s="10" t="s">
        <v>25</v>
      </c>
      <c r="M49" s="11"/>
      <c r="N49" s="12"/>
      <c r="O49" s="13"/>
      <c r="P49" s="14" t="s">
        <v>182</v>
      </c>
    </row>
    <row r="50" customFormat="false" ht="19.5" hidden="false" customHeight="true" outlineLevel="0" collapsed="false">
      <c r="A50" s="15"/>
      <c r="B50" s="15"/>
      <c r="C50" s="16" t="s">
        <v>183</v>
      </c>
      <c r="D50" s="17" t="s">
        <v>184</v>
      </c>
      <c r="E50" s="18" t="s">
        <v>21</v>
      </c>
      <c r="F50" s="18" t="s">
        <v>63</v>
      </c>
      <c r="G50" s="19" t="s">
        <v>23</v>
      </c>
      <c r="H50" s="20" t="s">
        <v>30</v>
      </c>
      <c r="I50" s="20" t="s">
        <v>30</v>
      </c>
      <c r="J50" s="20" t="s">
        <v>30</v>
      </c>
      <c r="K50" s="9" t="s">
        <v>24</v>
      </c>
      <c r="L50" s="10" t="s">
        <v>25</v>
      </c>
      <c r="M50" s="11"/>
      <c r="N50" s="12"/>
      <c r="O50" s="13"/>
      <c r="P50" s="21" t="s">
        <v>185</v>
      </c>
    </row>
    <row r="51" customFormat="false" ht="19.5" hidden="false" customHeight="true" outlineLevel="0" collapsed="false">
      <c r="A51" s="15"/>
      <c r="B51" s="4" t="s">
        <v>186</v>
      </c>
      <c r="C51" s="5" t="s">
        <v>187</v>
      </c>
      <c r="D51" s="6" t="s">
        <v>188</v>
      </c>
      <c r="E51" s="7" t="s">
        <v>21</v>
      </c>
      <c r="F51" s="7" t="s">
        <v>48</v>
      </c>
      <c r="G51" s="8" t="s">
        <v>23</v>
      </c>
      <c r="H51" s="8" t="s">
        <v>23</v>
      </c>
      <c r="I51" s="22" t="s">
        <v>30</v>
      </c>
      <c r="J51" s="8" t="s">
        <v>23</v>
      </c>
      <c r="K51" s="9" t="s">
        <v>24</v>
      </c>
      <c r="L51" s="10" t="s">
        <v>25</v>
      </c>
      <c r="M51" s="11"/>
      <c r="N51" s="12"/>
      <c r="O51" s="13"/>
      <c r="P51" s="14" t="s">
        <v>189</v>
      </c>
    </row>
    <row r="52" customFormat="false" ht="19.5" hidden="false" customHeight="true" outlineLevel="0" collapsed="false">
      <c r="A52" s="15"/>
      <c r="B52" s="15"/>
      <c r="C52" s="16" t="s">
        <v>190</v>
      </c>
      <c r="D52" s="17" t="s">
        <v>191</v>
      </c>
      <c r="E52" s="18" t="s">
        <v>192</v>
      </c>
      <c r="F52" s="18" t="s">
        <v>44</v>
      </c>
      <c r="G52" s="19" t="s">
        <v>23</v>
      </c>
      <c r="H52" s="19" t="s">
        <v>23</v>
      </c>
      <c r="I52" s="20" t="s">
        <v>30</v>
      </c>
      <c r="J52" s="19" t="s">
        <v>23</v>
      </c>
      <c r="K52" s="9" t="s">
        <v>24</v>
      </c>
      <c r="L52" s="10" t="s">
        <v>25</v>
      </c>
      <c r="M52" s="11"/>
      <c r="N52" s="12"/>
      <c r="O52" s="13"/>
      <c r="P52" s="21" t="s">
        <v>193</v>
      </c>
    </row>
    <row r="53" customFormat="false" ht="19.5" hidden="false" customHeight="true" outlineLevel="0" collapsed="false">
      <c r="A53" s="15"/>
      <c r="B53" s="15"/>
      <c r="C53" s="5" t="s">
        <v>194</v>
      </c>
      <c r="D53" s="6" t="s">
        <v>195</v>
      </c>
      <c r="E53" s="7" t="s">
        <v>21</v>
      </c>
      <c r="F53" s="7" t="s">
        <v>63</v>
      </c>
      <c r="G53" s="8" t="s">
        <v>23</v>
      </c>
      <c r="H53" s="8" t="s">
        <v>23</v>
      </c>
      <c r="I53" s="8" t="s">
        <v>23</v>
      </c>
      <c r="J53" s="8" t="s">
        <v>23</v>
      </c>
      <c r="K53" s="9" t="s">
        <v>24</v>
      </c>
      <c r="L53" s="10" t="s">
        <v>25</v>
      </c>
      <c r="M53" s="11"/>
      <c r="N53" s="12"/>
      <c r="O53" s="13"/>
      <c r="P53" s="14" t="s">
        <v>196</v>
      </c>
    </row>
    <row r="54" customFormat="false" ht="19.5" hidden="false" customHeight="true" outlineLevel="0" collapsed="false">
      <c r="A54" s="15"/>
      <c r="B54" s="15"/>
      <c r="C54" s="16" t="s">
        <v>197</v>
      </c>
      <c r="D54" s="17" t="s">
        <v>198</v>
      </c>
      <c r="E54" s="18" t="s">
        <v>114</v>
      </c>
      <c r="F54" s="18" t="s">
        <v>44</v>
      </c>
      <c r="G54" s="19" t="s">
        <v>23</v>
      </c>
      <c r="H54" s="19" t="s">
        <v>23</v>
      </c>
      <c r="I54" s="20" t="s">
        <v>30</v>
      </c>
      <c r="J54" s="19" t="s">
        <v>23</v>
      </c>
      <c r="K54" s="9" t="s">
        <v>24</v>
      </c>
      <c r="L54" s="10" t="s">
        <v>25</v>
      </c>
      <c r="M54" s="11"/>
      <c r="N54" s="12"/>
      <c r="O54" s="13"/>
      <c r="P54" s="21" t="s">
        <v>199</v>
      </c>
    </row>
    <row r="55" customFormat="false" ht="19.5" hidden="false" customHeight="true" outlineLevel="0" collapsed="false">
      <c r="A55" s="15"/>
      <c r="B55" s="15"/>
      <c r="C55" s="5" t="s">
        <v>200</v>
      </c>
      <c r="D55" s="6" t="s">
        <v>201</v>
      </c>
      <c r="E55" s="7" t="s">
        <v>114</v>
      </c>
      <c r="F55" s="7" t="s">
        <v>44</v>
      </c>
      <c r="G55" s="8" t="s">
        <v>23</v>
      </c>
      <c r="H55" s="8" t="s">
        <v>23</v>
      </c>
      <c r="I55" s="22" t="s">
        <v>30</v>
      </c>
      <c r="J55" s="8" t="s">
        <v>23</v>
      </c>
      <c r="K55" s="9" t="s">
        <v>24</v>
      </c>
      <c r="L55" s="10" t="s">
        <v>25</v>
      </c>
      <c r="M55" s="11"/>
      <c r="N55" s="12"/>
      <c r="O55" s="13"/>
      <c r="P55" s="14" t="s">
        <v>202</v>
      </c>
    </row>
    <row r="56" customFormat="false" ht="19.5" hidden="false" customHeight="true" outlineLevel="0" collapsed="false">
      <c r="A56" s="15"/>
      <c r="B56" s="15"/>
      <c r="C56" s="16" t="s">
        <v>203</v>
      </c>
      <c r="D56" s="17" t="s">
        <v>204</v>
      </c>
      <c r="E56" s="18" t="s">
        <v>114</v>
      </c>
      <c r="F56" s="18" t="s">
        <v>44</v>
      </c>
      <c r="G56" s="19" t="s">
        <v>23</v>
      </c>
      <c r="H56" s="19" t="s">
        <v>23</v>
      </c>
      <c r="I56" s="20" t="s">
        <v>30</v>
      </c>
      <c r="J56" s="19" t="s">
        <v>23</v>
      </c>
      <c r="K56" s="9" t="s">
        <v>24</v>
      </c>
      <c r="L56" s="10" t="s">
        <v>25</v>
      </c>
      <c r="M56" s="11"/>
      <c r="N56" s="12"/>
      <c r="O56" s="13"/>
      <c r="P56" s="21" t="s">
        <v>205</v>
      </c>
    </row>
    <row r="57" customFormat="false" ht="19.5" hidden="false" customHeight="true" outlineLevel="0" collapsed="false">
      <c r="A57" s="15"/>
      <c r="B57" s="15"/>
      <c r="C57" s="5" t="s">
        <v>206</v>
      </c>
      <c r="D57" s="6" t="s">
        <v>207</v>
      </c>
      <c r="E57" s="7" t="s">
        <v>114</v>
      </c>
      <c r="F57" s="7" t="s">
        <v>44</v>
      </c>
      <c r="G57" s="8" t="s">
        <v>23</v>
      </c>
      <c r="H57" s="8" t="s">
        <v>23</v>
      </c>
      <c r="I57" s="22" t="s">
        <v>30</v>
      </c>
      <c r="J57" s="8" t="s">
        <v>23</v>
      </c>
      <c r="K57" s="9" t="s">
        <v>24</v>
      </c>
      <c r="L57" s="10" t="s">
        <v>25</v>
      </c>
      <c r="M57" s="11"/>
      <c r="N57" s="12"/>
      <c r="O57" s="13"/>
      <c r="P57" s="14" t="s">
        <v>208</v>
      </c>
    </row>
    <row r="58" customFormat="false" ht="19.5" hidden="false" customHeight="true" outlineLevel="0" collapsed="false">
      <c r="A58" s="15"/>
      <c r="B58" s="15"/>
      <c r="C58" s="16" t="s">
        <v>209</v>
      </c>
      <c r="D58" s="17" t="s">
        <v>210</v>
      </c>
      <c r="E58" s="18" t="s">
        <v>21</v>
      </c>
      <c r="F58" s="18" t="s">
        <v>63</v>
      </c>
      <c r="G58" s="19" t="s">
        <v>23</v>
      </c>
      <c r="H58" s="19" t="s">
        <v>23</v>
      </c>
      <c r="I58" s="20" t="s">
        <v>30</v>
      </c>
      <c r="J58" s="19" t="s">
        <v>23</v>
      </c>
      <c r="K58" s="9" t="s">
        <v>24</v>
      </c>
      <c r="L58" s="10" t="s">
        <v>25</v>
      </c>
      <c r="M58" s="11"/>
      <c r="N58" s="12"/>
      <c r="O58" s="13"/>
      <c r="P58" s="21" t="s">
        <v>211</v>
      </c>
    </row>
    <row r="59" customFormat="false" ht="19.5" hidden="false" customHeight="true" outlineLevel="0" collapsed="false">
      <c r="A59" s="23" t="s">
        <v>212</v>
      </c>
      <c r="B59" s="24" t="s">
        <v>213</v>
      </c>
      <c r="C59" s="5" t="s">
        <v>214</v>
      </c>
      <c r="D59" s="6" t="s">
        <v>215</v>
      </c>
      <c r="E59" s="7" t="s">
        <v>21</v>
      </c>
      <c r="F59" s="7" t="s">
        <v>216</v>
      </c>
      <c r="G59" s="25" t="s">
        <v>23</v>
      </c>
      <c r="H59" s="22" t="s">
        <v>30</v>
      </c>
      <c r="I59" s="25" t="s">
        <v>23</v>
      </c>
      <c r="J59" s="22" t="s">
        <v>30</v>
      </c>
      <c r="K59" s="9" t="s">
        <v>24</v>
      </c>
      <c r="L59" s="10" t="s">
        <v>25</v>
      </c>
      <c r="M59" s="11"/>
      <c r="N59" s="12"/>
      <c r="O59" s="13"/>
      <c r="P59" s="14" t="s">
        <v>217</v>
      </c>
    </row>
    <row r="60" customFormat="false" ht="19.5" hidden="false" customHeight="true" outlineLevel="0" collapsed="false">
      <c r="A60" s="26"/>
      <c r="B60" s="26"/>
      <c r="C60" s="16" t="s">
        <v>218</v>
      </c>
      <c r="D60" s="17" t="s">
        <v>219</v>
      </c>
      <c r="E60" s="18" t="s">
        <v>21</v>
      </c>
      <c r="F60" s="18" t="s">
        <v>220</v>
      </c>
      <c r="G60" s="27" t="s">
        <v>23</v>
      </c>
      <c r="H60" s="20" t="s">
        <v>30</v>
      </c>
      <c r="I60" s="27" t="s">
        <v>23</v>
      </c>
      <c r="J60" s="20" t="s">
        <v>30</v>
      </c>
      <c r="K60" s="9" t="s">
        <v>24</v>
      </c>
      <c r="L60" s="10" t="s">
        <v>25</v>
      </c>
      <c r="M60" s="11"/>
      <c r="N60" s="12"/>
      <c r="O60" s="13"/>
      <c r="P60" s="21" t="s">
        <v>221</v>
      </c>
    </row>
    <row r="61" customFormat="false" ht="19.5" hidden="false" customHeight="true" outlineLevel="0" collapsed="false">
      <c r="A61" s="26"/>
      <c r="B61" s="26"/>
      <c r="C61" s="5" t="s">
        <v>222</v>
      </c>
      <c r="D61" s="6" t="s">
        <v>223</v>
      </c>
      <c r="E61" s="7" t="s">
        <v>21</v>
      </c>
      <c r="F61" s="7" t="s">
        <v>63</v>
      </c>
      <c r="G61" s="25" t="s">
        <v>23</v>
      </c>
      <c r="H61" s="22" t="s">
        <v>30</v>
      </c>
      <c r="I61" s="25" t="s">
        <v>23</v>
      </c>
      <c r="J61" s="22" t="s">
        <v>30</v>
      </c>
      <c r="K61" s="9" t="s">
        <v>24</v>
      </c>
      <c r="L61" s="10" t="s">
        <v>25</v>
      </c>
      <c r="M61" s="11"/>
      <c r="N61" s="12"/>
      <c r="O61" s="13"/>
      <c r="P61" s="14" t="s">
        <v>224</v>
      </c>
    </row>
    <row r="62" customFormat="false" ht="19.5" hidden="false" customHeight="true" outlineLevel="0" collapsed="false">
      <c r="A62" s="26"/>
      <c r="B62" s="26"/>
      <c r="C62" s="16" t="s">
        <v>225</v>
      </c>
      <c r="D62" s="17" t="s">
        <v>226</v>
      </c>
      <c r="E62" s="18" t="s">
        <v>21</v>
      </c>
      <c r="F62" s="18" t="s">
        <v>63</v>
      </c>
      <c r="G62" s="27" t="s">
        <v>23</v>
      </c>
      <c r="H62" s="20" t="s">
        <v>30</v>
      </c>
      <c r="I62" s="27" t="s">
        <v>23</v>
      </c>
      <c r="J62" s="20" t="s">
        <v>30</v>
      </c>
      <c r="K62" s="9" t="s">
        <v>24</v>
      </c>
      <c r="L62" s="10" t="s">
        <v>25</v>
      </c>
      <c r="M62" s="11"/>
      <c r="N62" s="12"/>
      <c r="O62" s="13"/>
      <c r="P62" s="21" t="s">
        <v>227</v>
      </c>
    </row>
    <row r="63" customFormat="false" ht="19.5" hidden="false" customHeight="true" outlineLevel="0" collapsed="false">
      <c r="A63" s="26"/>
      <c r="B63" s="26"/>
      <c r="C63" s="5" t="s">
        <v>228</v>
      </c>
      <c r="D63" s="6" t="s">
        <v>229</v>
      </c>
      <c r="E63" s="7" t="s">
        <v>21</v>
      </c>
      <c r="F63" s="7" t="s">
        <v>216</v>
      </c>
      <c r="G63" s="25" t="s">
        <v>23</v>
      </c>
      <c r="H63" s="22" t="s">
        <v>30</v>
      </c>
      <c r="I63" s="25" t="s">
        <v>23</v>
      </c>
      <c r="J63" s="22" t="s">
        <v>30</v>
      </c>
      <c r="K63" s="9" t="s">
        <v>24</v>
      </c>
      <c r="L63" s="10" t="s">
        <v>25</v>
      </c>
      <c r="M63" s="11"/>
      <c r="N63" s="12"/>
      <c r="O63" s="13"/>
      <c r="P63" s="14" t="s">
        <v>230</v>
      </c>
    </row>
    <row r="64" customFormat="false" ht="19.5" hidden="false" customHeight="true" outlineLevel="0" collapsed="false">
      <c r="A64" s="26"/>
      <c r="B64" s="26"/>
      <c r="C64" s="16" t="s">
        <v>231</v>
      </c>
      <c r="D64" s="17" t="s">
        <v>232</v>
      </c>
      <c r="E64" s="18" t="s">
        <v>21</v>
      </c>
      <c r="F64" s="18" t="s">
        <v>63</v>
      </c>
      <c r="G64" s="27" t="s">
        <v>23</v>
      </c>
      <c r="H64" s="20" t="s">
        <v>30</v>
      </c>
      <c r="I64" s="27" t="s">
        <v>23</v>
      </c>
      <c r="J64" s="20" t="s">
        <v>30</v>
      </c>
      <c r="K64" s="9" t="s">
        <v>24</v>
      </c>
      <c r="L64" s="10" t="s">
        <v>25</v>
      </c>
      <c r="M64" s="11"/>
      <c r="N64" s="12"/>
      <c r="O64" s="13"/>
      <c r="P64" s="21" t="s">
        <v>233</v>
      </c>
    </row>
    <row r="65" customFormat="false" ht="19.5" hidden="false" customHeight="true" outlineLevel="0" collapsed="false">
      <c r="A65" s="26"/>
      <c r="B65" s="26"/>
      <c r="C65" s="5" t="s">
        <v>234</v>
      </c>
      <c r="D65" s="6" t="s">
        <v>235</v>
      </c>
      <c r="E65" s="7" t="s">
        <v>21</v>
      </c>
      <c r="F65" s="7" t="s">
        <v>63</v>
      </c>
      <c r="G65" s="25" t="s">
        <v>23</v>
      </c>
      <c r="H65" s="22" t="s">
        <v>30</v>
      </c>
      <c r="I65" s="25" t="s">
        <v>23</v>
      </c>
      <c r="J65" s="22" t="s">
        <v>30</v>
      </c>
      <c r="K65" s="9" t="s">
        <v>24</v>
      </c>
      <c r="L65" s="10" t="s">
        <v>25</v>
      </c>
      <c r="M65" s="11"/>
      <c r="N65" s="12"/>
      <c r="O65" s="13"/>
      <c r="P65" s="14" t="s">
        <v>236</v>
      </c>
    </row>
    <row r="66" customFormat="false" ht="19.5" hidden="false" customHeight="true" outlineLevel="0" collapsed="false">
      <c r="A66" s="26"/>
      <c r="B66" s="26"/>
      <c r="C66" s="16" t="s">
        <v>237</v>
      </c>
      <c r="D66" s="17" t="s">
        <v>238</v>
      </c>
      <c r="E66" s="18" t="s">
        <v>21</v>
      </c>
      <c r="F66" s="18" t="s">
        <v>239</v>
      </c>
      <c r="G66" s="27" t="s">
        <v>23</v>
      </c>
      <c r="H66" s="20" t="s">
        <v>30</v>
      </c>
      <c r="I66" s="27" t="s">
        <v>23</v>
      </c>
      <c r="J66" s="20" t="s">
        <v>30</v>
      </c>
      <c r="K66" s="9" t="s">
        <v>24</v>
      </c>
      <c r="L66" s="10" t="s">
        <v>25</v>
      </c>
      <c r="M66" s="11"/>
      <c r="N66" s="12"/>
      <c r="O66" s="13"/>
      <c r="P66" s="21" t="s">
        <v>240</v>
      </c>
    </row>
    <row r="67" customFormat="false" ht="19.5" hidden="false" customHeight="true" outlineLevel="0" collapsed="false">
      <c r="A67" s="26"/>
      <c r="B67" s="26"/>
      <c r="C67" s="5" t="s">
        <v>241</v>
      </c>
      <c r="D67" s="6" t="s">
        <v>242</v>
      </c>
      <c r="E67" s="7" t="s">
        <v>21</v>
      </c>
      <c r="F67" s="7" t="s">
        <v>63</v>
      </c>
      <c r="G67" s="25" t="s">
        <v>23</v>
      </c>
      <c r="H67" s="22" t="s">
        <v>30</v>
      </c>
      <c r="I67" s="25" t="s">
        <v>23</v>
      </c>
      <c r="J67" s="22" t="s">
        <v>30</v>
      </c>
      <c r="K67" s="9" t="s">
        <v>24</v>
      </c>
      <c r="L67" s="10" t="s">
        <v>25</v>
      </c>
      <c r="M67" s="11"/>
      <c r="N67" s="12"/>
      <c r="O67" s="13"/>
      <c r="P67" s="14" t="s">
        <v>243</v>
      </c>
    </row>
    <row r="68" customFormat="false" ht="19.5" hidden="false" customHeight="true" outlineLevel="0" collapsed="false">
      <c r="A68" s="26"/>
      <c r="B68" s="26"/>
      <c r="C68" s="16" t="s">
        <v>244</v>
      </c>
      <c r="D68" s="17" t="s">
        <v>245</v>
      </c>
      <c r="E68" s="18" t="s">
        <v>21</v>
      </c>
      <c r="F68" s="18" t="s">
        <v>246</v>
      </c>
      <c r="G68" s="27" t="s">
        <v>23</v>
      </c>
      <c r="H68" s="20" t="s">
        <v>30</v>
      </c>
      <c r="I68" s="20" t="s">
        <v>30</v>
      </c>
      <c r="J68" s="20" t="s">
        <v>30</v>
      </c>
      <c r="K68" s="9" t="s">
        <v>24</v>
      </c>
      <c r="L68" s="10" t="s">
        <v>25</v>
      </c>
      <c r="M68" s="11"/>
      <c r="N68" s="12"/>
      <c r="O68" s="13"/>
      <c r="P68" s="21" t="s">
        <v>247</v>
      </c>
    </row>
    <row r="69" customFormat="false" ht="19.5" hidden="false" customHeight="true" outlineLevel="0" collapsed="false">
      <c r="A69" s="26"/>
      <c r="B69" s="24" t="s">
        <v>248</v>
      </c>
      <c r="C69" s="5" t="s">
        <v>249</v>
      </c>
      <c r="D69" s="6" t="s">
        <v>250</v>
      </c>
      <c r="E69" s="7" t="s">
        <v>21</v>
      </c>
      <c r="F69" s="7" t="s">
        <v>216</v>
      </c>
      <c r="G69" s="25" t="s">
        <v>23</v>
      </c>
      <c r="H69" s="22" t="s">
        <v>30</v>
      </c>
      <c r="I69" s="25" t="s">
        <v>23</v>
      </c>
      <c r="J69" s="25" t="s">
        <v>23</v>
      </c>
      <c r="K69" s="9" t="s">
        <v>24</v>
      </c>
      <c r="L69" s="10" t="s">
        <v>25</v>
      </c>
      <c r="M69" s="11"/>
      <c r="N69" s="12"/>
      <c r="O69" s="13"/>
      <c r="P69" s="14" t="s">
        <v>251</v>
      </c>
    </row>
    <row r="70" customFormat="false" ht="19.5" hidden="false" customHeight="true" outlineLevel="0" collapsed="false">
      <c r="A70" s="26"/>
      <c r="B70" s="26"/>
      <c r="C70" s="16" t="s">
        <v>252</v>
      </c>
      <c r="D70" s="17" t="s">
        <v>253</v>
      </c>
      <c r="E70" s="18" t="s">
        <v>21</v>
      </c>
      <c r="F70" s="18" t="s">
        <v>216</v>
      </c>
      <c r="G70" s="27" t="s">
        <v>23</v>
      </c>
      <c r="H70" s="20" t="s">
        <v>30</v>
      </c>
      <c r="I70" s="27" t="s">
        <v>23</v>
      </c>
      <c r="J70" s="27" t="s">
        <v>23</v>
      </c>
      <c r="K70" s="9" t="s">
        <v>24</v>
      </c>
      <c r="L70" s="10" t="s">
        <v>25</v>
      </c>
      <c r="M70" s="11"/>
      <c r="N70" s="12"/>
      <c r="O70" s="13"/>
      <c r="P70" s="21" t="s">
        <v>254</v>
      </c>
    </row>
    <row r="71" customFormat="false" ht="19.5" hidden="false" customHeight="true" outlineLevel="0" collapsed="false">
      <c r="A71" s="26"/>
      <c r="B71" s="26"/>
      <c r="C71" s="5" t="s">
        <v>255</v>
      </c>
      <c r="D71" s="6" t="s">
        <v>256</v>
      </c>
      <c r="E71" s="7" t="s">
        <v>21</v>
      </c>
      <c r="F71" s="7" t="s">
        <v>257</v>
      </c>
      <c r="G71" s="25" t="s">
        <v>23</v>
      </c>
      <c r="H71" s="22" t="s">
        <v>30</v>
      </c>
      <c r="I71" s="25" t="s">
        <v>23</v>
      </c>
      <c r="J71" s="25" t="s">
        <v>23</v>
      </c>
      <c r="K71" s="9" t="s">
        <v>24</v>
      </c>
      <c r="L71" s="10" t="s">
        <v>25</v>
      </c>
      <c r="M71" s="11"/>
      <c r="N71" s="12"/>
      <c r="O71" s="13"/>
      <c r="P71" s="14" t="s">
        <v>258</v>
      </c>
    </row>
    <row r="72" customFormat="false" ht="19.5" hidden="false" customHeight="true" outlineLevel="0" collapsed="false">
      <c r="A72" s="26"/>
      <c r="B72" s="26"/>
      <c r="C72" s="16" t="s">
        <v>259</v>
      </c>
      <c r="D72" s="17" t="s">
        <v>260</v>
      </c>
      <c r="E72" s="18" t="s">
        <v>21</v>
      </c>
      <c r="F72" s="18" t="s">
        <v>257</v>
      </c>
      <c r="G72" s="27" t="s">
        <v>23</v>
      </c>
      <c r="H72" s="20" t="s">
        <v>30</v>
      </c>
      <c r="I72" s="27" t="s">
        <v>23</v>
      </c>
      <c r="J72" s="27" t="s">
        <v>23</v>
      </c>
      <c r="K72" s="9" t="s">
        <v>24</v>
      </c>
      <c r="L72" s="10" t="s">
        <v>25</v>
      </c>
      <c r="M72" s="11"/>
      <c r="N72" s="12"/>
      <c r="O72" s="13"/>
      <c r="P72" s="21" t="s">
        <v>261</v>
      </c>
    </row>
    <row r="73" customFormat="false" ht="19.5" hidden="false" customHeight="true" outlineLevel="0" collapsed="false">
      <c r="A73" s="26"/>
      <c r="B73" s="26"/>
      <c r="C73" s="5" t="s">
        <v>262</v>
      </c>
      <c r="D73" s="6" t="s">
        <v>263</v>
      </c>
      <c r="E73" s="7" t="s">
        <v>21</v>
      </c>
      <c r="F73" s="7" t="s">
        <v>257</v>
      </c>
      <c r="G73" s="25" t="s">
        <v>23</v>
      </c>
      <c r="H73" s="22" t="s">
        <v>30</v>
      </c>
      <c r="I73" s="25" t="s">
        <v>23</v>
      </c>
      <c r="J73" s="22" t="s">
        <v>30</v>
      </c>
      <c r="K73" s="9" t="s">
        <v>24</v>
      </c>
      <c r="L73" s="10" t="s">
        <v>25</v>
      </c>
      <c r="M73" s="11"/>
      <c r="N73" s="12"/>
      <c r="O73" s="13"/>
      <c r="P73" s="14" t="s">
        <v>264</v>
      </c>
    </row>
    <row r="74" customFormat="false" ht="19.5" hidden="false" customHeight="true" outlineLevel="0" collapsed="false">
      <c r="A74" s="26"/>
      <c r="B74" s="26"/>
      <c r="C74" s="16" t="s">
        <v>265</v>
      </c>
      <c r="D74" s="17" t="s">
        <v>266</v>
      </c>
      <c r="E74" s="18" t="s">
        <v>21</v>
      </c>
      <c r="F74" s="18" t="s">
        <v>267</v>
      </c>
      <c r="G74" s="27" t="s">
        <v>23</v>
      </c>
      <c r="H74" s="20" t="s">
        <v>30</v>
      </c>
      <c r="I74" s="27" t="s">
        <v>23</v>
      </c>
      <c r="J74" s="20" t="s">
        <v>30</v>
      </c>
      <c r="K74" s="9" t="s">
        <v>24</v>
      </c>
      <c r="L74" s="10" t="s">
        <v>25</v>
      </c>
      <c r="M74" s="11"/>
      <c r="N74" s="12"/>
      <c r="O74" s="13"/>
      <c r="P74" s="21" t="s">
        <v>268</v>
      </c>
    </row>
    <row r="75" customFormat="false" ht="19.5" hidden="false" customHeight="true" outlineLevel="0" collapsed="false">
      <c r="A75" s="26"/>
      <c r="B75" s="26"/>
      <c r="C75" s="5" t="s">
        <v>269</v>
      </c>
      <c r="D75" s="6" t="s">
        <v>270</v>
      </c>
      <c r="E75" s="7" t="s">
        <v>21</v>
      </c>
      <c r="F75" s="7" t="s">
        <v>239</v>
      </c>
      <c r="G75" s="25" t="s">
        <v>23</v>
      </c>
      <c r="H75" s="22" t="s">
        <v>30</v>
      </c>
      <c r="I75" s="25" t="s">
        <v>23</v>
      </c>
      <c r="J75" s="25" t="s">
        <v>23</v>
      </c>
      <c r="K75" s="9" t="s">
        <v>24</v>
      </c>
      <c r="L75" s="10" t="s">
        <v>25</v>
      </c>
      <c r="M75" s="11"/>
      <c r="N75" s="12"/>
      <c r="O75" s="13"/>
      <c r="P75" s="14" t="s">
        <v>271</v>
      </c>
    </row>
    <row r="76" customFormat="false" ht="19.5" hidden="false" customHeight="true" outlineLevel="0" collapsed="false">
      <c r="A76" s="26"/>
      <c r="B76" s="26"/>
      <c r="C76" s="16" t="s">
        <v>272</v>
      </c>
      <c r="D76" s="17" t="s">
        <v>273</v>
      </c>
      <c r="E76" s="18" t="s">
        <v>21</v>
      </c>
      <c r="F76" s="18" t="s">
        <v>63</v>
      </c>
      <c r="G76" s="27" t="s">
        <v>23</v>
      </c>
      <c r="H76" s="20" t="s">
        <v>30</v>
      </c>
      <c r="I76" s="27" t="s">
        <v>23</v>
      </c>
      <c r="J76" s="20" t="s">
        <v>30</v>
      </c>
      <c r="K76" s="9" t="s">
        <v>24</v>
      </c>
      <c r="L76" s="10" t="s">
        <v>25</v>
      </c>
      <c r="M76" s="11"/>
      <c r="N76" s="12"/>
      <c r="O76" s="13"/>
      <c r="P76" s="21" t="s">
        <v>274</v>
      </c>
    </row>
    <row r="77" customFormat="false" ht="19.5" hidden="false" customHeight="true" outlineLevel="0" collapsed="false">
      <c r="A77" s="26"/>
      <c r="B77" s="24" t="s">
        <v>275</v>
      </c>
      <c r="C77" s="5" t="s">
        <v>276</v>
      </c>
      <c r="D77" s="6" t="s">
        <v>277</v>
      </c>
      <c r="E77" s="7" t="s">
        <v>21</v>
      </c>
      <c r="F77" s="7" t="s">
        <v>63</v>
      </c>
      <c r="G77" s="25" t="s">
        <v>23</v>
      </c>
      <c r="H77" s="22" t="s">
        <v>30</v>
      </c>
      <c r="I77" s="25" t="s">
        <v>23</v>
      </c>
      <c r="J77" s="22" t="s">
        <v>30</v>
      </c>
      <c r="K77" s="9" t="s">
        <v>24</v>
      </c>
      <c r="L77" s="10" t="s">
        <v>25</v>
      </c>
      <c r="M77" s="11"/>
      <c r="N77" s="12"/>
      <c r="O77" s="13"/>
      <c r="P77" s="14" t="s">
        <v>278</v>
      </c>
    </row>
    <row r="78" customFormat="false" ht="19.5" hidden="false" customHeight="true" outlineLevel="0" collapsed="false">
      <c r="A78" s="26"/>
      <c r="B78" s="26"/>
      <c r="C78" s="16" t="s">
        <v>279</v>
      </c>
      <c r="D78" s="17" t="s">
        <v>280</v>
      </c>
      <c r="E78" s="18" t="s">
        <v>21</v>
      </c>
      <c r="F78" s="18" t="s">
        <v>63</v>
      </c>
      <c r="G78" s="27" t="s">
        <v>23</v>
      </c>
      <c r="H78" s="20" t="s">
        <v>30</v>
      </c>
      <c r="I78" s="27" t="s">
        <v>23</v>
      </c>
      <c r="J78" s="20" t="s">
        <v>30</v>
      </c>
      <c r="K78" s="9" t="s">
        <v>24</v>
      </c>
      <c r="L78" s="10" t="s">
        <v>25</v>
      </c>
      <c r="M78" s="11"/>
      <c r="N78" s="12"/>
      <c r="O78" s="13"/>
      <c r="P78" s="21" t="s">
        <v>281</v>
      </c>
    </row>
    <row r="79" customFormat="false" ht="19.5" hidden="false" customHeight="true" outlineLevel="0" collapsed="false">
      <c r="A79" s="26"/>
      <c r="B79" s="26"/>
      <c r="C79" s="5" t="s">
        <v>282</v>
      </c>
      <c r="D79" s="6" t="s">
        <v>283</v>
      </c>
      <c r="E79" s="7" t="s">
        <v>21</v>
      </c>
      <c r="F79" s="7" t="s">
        <v>63</v>
      </c>
      <c r="G79" s="25" t="s">
        <v>23</v>
      </c>
      <c r="H79" s="22" t="s">
        <v>30</v>
      </c>
      <c r="I79" s="25" t="s">
        <v>23</v>
      </c>
      <c r="J79" s="22" t="s">
        <v>30</v>
      </c>
      <c r="K79" s="9" t="s">
        <v>24</v>
      </c>
      <c r="L79" s="10" t="s">
        <v>25</v>
      </c>
      <c r="M79" s="11"/>
      <c r="N79" s="12"/>
      <c r="O79" s="13"/>
      <c r="P79" s="14" t="s">
        <v>284</v>
      </c>
    </row>
    <row r="80" customFormat="false" ht="19.5" hidden="false" customHeight="true" outlineLevel="0" collapsed="false">
      <c r="A80" s="26"/>
      <c r="B80" s="26"/>
      <c r="C80" s="16" t="s">
        <v>285</v>
      </c>
      <c r="D80" s="17" t="s">
        <v>286</v>
      </c>
      <c r="E80" s="18" t="s">
        <v>21</v>
      </c>
      <c r="F80" s="18" t="s">
        <v>63</v>
      </c>
      <c r="G80" s="27" t="s">
        <v>23</v>
      </c>
      <c r="H80" s="20" t="s">
        <v>30</v>
      </c>
      <c r="I80" s="27" t="s">
        <v>23</v>
      </c>
      <c r="J80" s="20" t="s">
        <v>30</v>
      </c>
      <c r="K80" s="9" t="s">
        <v>24</v>
      </c>
      <c r="L80" s="10" t="s">
        <v>25</v>
      </c>
      <c r="M80" s="11"/>
      <c r="N80" s="12"/>
      <c r="O80" s="13"/>
      <c r="P80" s="21" t="s">
        <v>287</v>
      </c>
    </row>
    <row r="81" customFormat="false" ht="19.5" hidden="false" customHeight="true" outlineLevel="0" collapsed="false">
      <c r="A81" s="26"/>
      <c r="B81" s="26"/>
      <c r="C81" s="5" t="s">
        <v>288</v>
      </c>
      <c r="D81" s="6" t="s">
        <v>289</v>
      </c>
      <c r="E81" s="7" t="s">
        <v>21</v>
      </c>
      <c r="F81" s="7" t="s">
        <v>290</v>
      </c>
      <c r="G81" s="25" t="s">
        <v>23</v>
      </c>
      <c r="H81" s="22" t="s">
        <v>30</v>
      </c>
      <c r="I81" s="25" t="s">
        <v>23</v>
      </c>
      <c r="J81" s="22" t="s">
        <v>30</v>
      </c>
      <c r="K81" s="9" t="s">
        <v>24</v>
      </c>
      <c r="L81" s="10" t="s">
        <v>25</v>
      </c>
      <c r="M81" s="11"/>
      <c r="N81" s="12"/>
      <c r="O81" s="13"/>
      <c r="P81" s="14" t="s">
        <v>291</v>
      </c>
    </row>
    <row r="82" customFormat="false" ht="19.5" hidden="false" customHeight="true" outlineLevel="0" collapsed="false">
      <c r="A82" s="26"/>
      <c r="B82" s="26"/>
      <c r="C82" s="16" t="s">
        <v>292</v>
      </c>
      <c r="D82" s="17" t="s">
        <v>293</v>
      </c>
      <c r="E82" s="18" t="s">
        <v>21</v>
      </c>
      <c r="F82" s="18" t="s">
        <v>63</v>
      </c>
      <c r="G82" s="27" t="s">
        <v>23</v>
      </c>
      <c r="H82" s="20" t="s">
        <v>30</v>
      </c>
      <c r="I82" s="27" t="s">
        <v>23</v>
      </c>
      <c r="J82" s="20" t="s">
        <v>30</v>
      </c>
      <c r="K82" s="9" t="s">
        <v>24</v>
      </c>
      <c r="L82" s="10" t="s">
        <v>25</v>
      </c>
      <c r="M82" s="11"/>
      <c r="N82" s="12"/>
      <c r="O82" s="13"/>
      <c r="P82" s="21" t="s">
        <v>294</v>
      </c>
    </row>
    <row r="83" customFormat="false" ht="19.5" hidden="false" customHeight="true" outlineLevel="0" collapsed="false">
      <c r="A83" s="26"/>
      <c r="B83" s="26"/>
      <c r="C83" s="5" t="s">
        <v>295</v>
      </c>
      <c r="D83" s="6" t="s">
        <v>296</v>
      </c>
      <c r="E83" s="7" t="s">
        <v>21</v>
      </c>
      <c r="F83" s="7" t="s">
        <v>63</v>
      </c>
      <c r="G83" s="25" t="s">
        <v>23</v>
      </c>
      <c r="H83" s="22" t="s">
        <v>30</v>
      </c>
      <c r="I83" s="25" t="s">
        <v>23</v>
      </c>
      <c r="J83" s="22" t="s">
        <v>30</v>
      </c>
      <c r="K83" s="9" t="s">
        <v>24</v>
      </c>
      <c r="L83" s="10" t="s">
        <v>25</v>
      </c>
      <c r="M83" s="11"/>
      <c r="N83" s="12"/>
      <c r="O83" s="13"/>
      <c r="P83" s="14" t="s">
        <v>297</v>
      </c>
    </row>
    <row r="84" customFormat="false" ht="19.5" hidden="false" customHeight="true" outlineLevel="0" collapsed="false">
      <c r="A84" s="26"/>
      <c r="B84" s="26"/>
      <c r="C84" s="16" t="s">
        <v>298</v>
      </c>
      <c r="D84" s="17" t="s">
        <v>299</v>
      </c>
      <c r="E84" s="18" t="s">
        <v>21</v>
      </c>
      <c r="F84" s="18" t="s">
        <v>216</v>
      </c>
      <c r="G84" s="27" t="s">
        <v>23</v>
      </c>
      <c r="H84" s="20" t="s">
        <v>30</v>
      </c>
      <c r="I84" s="27" t="s">
        <v>23</v>
      </c>
      <c r="J84" s="20" t="s">
        <v>30</v>
      </c>
      <c r="K84" s="9" t="s">
        <v>24</v>
      </c>
      <c r="L84" s="10" t="s">
        <v>25</v>
      </c>
      <c r="M84" s="11"/>
      <c r="N84" s="12"/>
      <c r="O84" s="13"/>
      <c r="P84" s="21" t="s">
        <v>300</v>
      </c>
    </row>
    <row r="85" customFormat="false" ht="19.5" hidden="false" customHeight="true" outlineLevel="0" collapsed="false">
      <c r="A85" s="26"/>
      <c r="B85" s="26"/>
      <c r="C85" s="5" t="s">
        <v>301</v>
      </c>
      <c r="D85" s="6" t="s">
        <v>302</v>
      </c>
      <c r="E85" s="7" t="s">
        <v>21</v>
      </c>
      <c r="F85" s="7" t="s">
        <v>63</v>
      </c>
      <c r="G85" s="25" t="s">
        <v>23</v>
      </c>
      <c r="H85" s="22" t="s">
        <v>30</v>
      </c>
      <c r="I85" s="22" t="s">
        <v>30</v>
      </c>
      <c r="J85" s="22" t="s">
        <v>30</v>
      </c>
      <c r="K85" s="9" t="s">
        <v>24</v>
      </c>
      <c r="L85" s="10" t="s">
        <v>25</v>
      </c>
      <c r="M85" s="11"/>
      <c r="N85" s="12"/>
      <c r="O85" s="13"/>
      <c r="P85" s="14" t="s">
        <v>303</v>
      </c>
    </row>
    <row r="86" customFormat="false" ht="19.5" hidden="false" customHeight="true" outlineLevel="0" collapsed="false">
      <c r="A86" s="26"/>
      <c r="B86" s="26"/>
      <c r="C86" s="16" t="s">
        <v>304</v>
      </c>
      <c r="D86" s="17" t="s">
        <v>305</v>
      </c>
      <c r="E86" s="18" t="s">
        <v>21</v>
      </c>
      <c r="F86" s="18" t="s">
        <v>306</v>
      </c>
      <c r="G86" s="27" t="s">
        <v>23</v>
      </c>
      <c r="H86" s="20" t="s">
        <v>30</v>
      </c>
      <c r="I86" s="20" t="s">
        <v>30</v>
      </c>
      <c r="J86" s="20" t="s">
        <v>30</v>
      </c>
      <c r="K86" s="9" t="s">
        <v>24</v>
      </c>
      <c r="L86" s="10" t="s">
        <v>25</v>
      </c>
      <c r="M86" s="11"/>
      <c r="N86" s="12"/>
      <c r="O86" s="13"/>
      <c r="P86" s="21" t="s">
        <v>307</v>
      </c>
    </row>
    <row r="87" customFormat="false" ht="19.5" hidden="false" customHeight="true" outlineLevel="0" collapsed="false">
      <c r="A87" s="26"/>
      <c r="B87" s="24" t="s">
        <v>308</v>
      </c>
      <c r="C87" s="5" t="s">
        <v>309</v>
      </c>
      <c r="D87" s="6" t="s">
        <v>310</v>
      </c>
      <c r="E87" s="7" t="s">
        <v>21</v>
      </c>
      <c r="F87" s="7" t="s">
        <v>63</v>
      </c>
      <c r="G87" s="25" t="s">
        <v>23</v>
      </c>
      <c r="H87" s="22" t="s">
        <v>30</v>
      </c>
      <c r="I87" s="22" t="s">
        <v>30</v>
      </c>
      <c r="J87" s="22" t="s">
        <v>30</v>
      </c>
      <c r="K87" s="9" t="s">
        <v>24</v>
      </c>
      <c r="L87" s="10" t="s">
        <v>25</v>
      </c>
      <c r="M87" s="11"/>
      <c r="N87" s="12"/>
      <c r="O87" s="13"/>
      <c r="P87" s="14" t="s">
        <v>311</v>
      </c>
    </row>
    <row r="88" customFormat="false" ht="19.5" hidden="false" customHeight="true" outlineLevel="0" collapsed="false">
      <c r="A88" s="26"/>
      <c r="B88" s="26"/>
      <c r="C88" s="16" t="s">
        <v>312</v>
      </c>
      <c r="D88" s="17" t="s">
        <v>313</v>
      </c>
      <c r="E88" s="18" t="s">
        <v>21</v>
      </c>
      <c r="F88" s="18" t="s">
        <v>63</v>
      </c>
      <c r="G88" s="27" t="s">
        <v>23</v>
      </c>
      <c r="H88" s="20" t="s">
        <v>30</v>
      </c>
      <c r="I88" s="20" t="s">
        <v>30</v>
      </c>
      <c r="J88" s="20" t="s">
        <v>30</v>
      </c>
      <c r="K88" s="9" t="s">
        <v>24</v>
      </c>
      <c r="L88" s="10" t="s">
        <v>25</v>
      </c>
      <c r="M88" s="11"/>
      <c r="N88" s="12"/>
      <c r="O88" s="13"/>
      <c r="P88" s="21" t="s">
        <v>314</v>
      </c>
    </row>
    <row r="89" customFormat="false" ht="19.5" hidden="false" customHeight="true" outlineLevel="0" collapsed="false">
      <c r="A89" s="26"/>
      <c r="B89" s="26"/>
      <c r="C89" s="5" t="s">
        <v>315</v>
      </c>
      <c r="D89" s="6" t="s">
        <v>316</v>
      </c>
      <c r="E89" s="7" t="s">
        <v>21</v>
      </c>
      <c r="F89" s="7" t="s">
        <v>63</v>
      </c>
      <c r="G89" s="25" t="s">
        <v>23</v>
      </c>
      <c r="H89" s="25" t="s">
        <v>23</v>
      </c>
      <c r="I89" s="25" t="s">
        <v>23</v>
      </c>
      <c r="J89" s="25" t="s">
        <v>23</v>
      </c>
      <c r="K89" s="9" t="s">
        <v>24</v>
      </c>
      <c r="L89" s="10" t="s">
        <v>25</v>
      </c>
      <c r="M89" s="11"/>
      <c r="N89" s="12"/>
      <c r="O89" s="13"/>
      <c r="P89" s="14" t="s">
        <v>317</v>
      </c>
    </row>
    <row r="90" customFormat="false" ht="19.5" hidden="false" customHeight="true" outlineLevel="0" collapsed="false">
      <c r="A90" s="26"/>
      <c r="B90" s="26"/>
      <c r="C90" s="16" t="s">
        <v>318</v>
      </c>
      <c r="D90" s="17" t="s">
        <v>319</v>
      </c>
      <c r="E90" s="18" t="s">
        <v>21</v>
      </c>
      <c r="F90" s="18" t="s">
        <v>216</v>
      </c>
      <c r="G90" s="27" t="s">
        <v>23</v>
      </c>
      <c r="H90" s="20" t="s">
        <v>30</v>
      </c>
      <c r="I90" s="27" t="s">
        <v>23</v>
      </c>
      <c r="J90" s="20" t="s">
        <v>30</v>
      </c>
      <c r="K90" s="9" t="s">
        <v>24</v>
      </c>
      <c r="L90" s="10" t="s">
        <v>25</v>
      </c>
      <c r="M90" s="11"/>
      <c r="N90" s="12"/>
      <c r="O90" s="13"/>
      <c r="P90" s="21" t="s">
        <v>320</v>
      </c>
    </row>
    <row r="91" customFormat="false" ht="19.5" hidden="false" customHeight="true" outlineLevel="0" collapsed="false">
      <c r="A91" s="26"/>
      <c r="B91" s="26"/>
      <c r="C91" s="5" t="s">
        <v>321</v>
      </c>
      <c r="D91" s="6" t="s">
        <v>322</v>
      </c>
      <c r="E91" s="7" t="s">
        <v>21</v>
      </c>
      <c r="F91" s="7" t="s">
        <v>63</v>
      </c>
      <c r="G91" s="25" t="s">
        <v>23</v>
      </c>
      <c r="H91" s="22" t="s">
        <v>30</v>
      </c>
      <c r="I91" s="25" t="s">
        <v>23</v>
      </c>
      <c r="J91" s="22" t="s">
        <v>30</v>
      </c>
      <c r="K91" s="9" t="s">
        <v>24</v>
      </c>
      <c r="L91" s="10" t="s">
        <v>25</v>
      </c>
      <c r="M91" s="11"/>
      <c r="N91" s="12"/>
      <c r="O91" s="13"/>
      <c r="P91" s="14" t="s">
        <v>323</v>
      </c>
    </row>
    <row r="92" customFormat="false" ht="19.5" hidden="false" customHeight="true" outlineLevel="0" collapsed="false">
      <c r="A92" s="26"/>
      <c r="B92" s="26"/>
      <c r="C92" s="16" t="s">
        <v>324</v>
      </c>
      <c r="D92" s="17" t="s">
        <v>325</v>
      </c>
      <c r="E92" s="18" t="s">
        <v>192</v>
      </c>
      <c r="F92" s="18" t="s">
        <v>44</v>
      </c>
      <c r="G92" s="27" t="s">
        <v>23</v>
      </c>
      <c r="H92" s="20" t="s">
        <v>30</v>
      </c>
      <c r="I92" s="27" t="s">
        <v>23</v>
      </c>
      <c r="J92" s="27" t="s">
        <v>23</v>
      </c>
      <c r="K92" s="9" t="s">
        <v>24</v>
      </c>
      <c r="L92" s="10" t="s">
        <v>25</v>
      </c>
      <c r="M92" s="11"/>
      <c r="N92" s="12"/>
      <c r="O92" s="13"/>
      <c r="P92" s="21" t="s">
        <v>326</v>
      </c>
    </row>
    <row r="93" customFormat="false" ht="19.5" hidden="false" customHeight="true" outlineLevel="0" collapsed="false">
      <c r="A93" s="26"/>
      <c r="B93" s="26"/>
      <c r="C93" s="5" t="s">
        <v>327</v>
      </c>
      <c r="D93" s="6" t="s">
        <v>328</v>
      </c>
      <c r="E93" s="7" t="s">
        <v>21</v>
      </c>
      <c r="F93" s="7" t="s">
        <v>216</v>
      </c>
      <c r="G93" s="25" t="s">
        <v>23</v>
      </c>
      <c r="H93" s="22" t="s">
        <v>30</v>
      </c>
      <c r="I93" s="25" t="s">
        <v>23</v>
      </c>
      <c r="J93" s="25" t="s">
        <v>23</v>
      </c>
      <c r="K93" s="9" t="s">
        <v>24</v>
      </c>
      <c r="L93" s="10" t="s">
        <v>25</v>
      </c>
      <c r="M93" s="11"/>
      <c r="N93" s="12"/>
      <c r="O93" s="13"/>
      <c r="P93" s="14" t="s">
        <v>329</v>
      </c>
    </row>
    <row r="94" customFormat="false" ht="19.5" hidden="false" customHeight="true" outlineLevel="0" collapsed="false">
      <c r="A94" s="28" t="s">
        <v>330</v>
      </c>
      <c r="B94" s="29" t="s">
        <v>330</v>
      </c>
      <c r="C94" s="16" t="s">
        <v>331</v>
      </c>
      <c r="D94" s="17" t="s">
        <v>332</v>
      </c>
      <c r="E94" s="18" t="s">
        <v>21</v>
      </c>
      <c r="F94" s="18" t="s">
        <v>216</v>
      </c>
      <c r="G94" s="30" t="s">
        <v>23</v>
      </c>
      <c r="H94" s="30" t="s">
        <v>23</v>
      </c>
      <c r="I94" s="30" t="s">
        <v>23</v>
      </c>
      <c r="J94" s="30" t="s">
        <v>23</v>
      </c>
      <c r="K94" s="9" t="s">
        <v>24</v>
      </c>
      <c r="L94" s="10" t="s">
        <v>25</v>
      </c>
      <c r="M94" s="11"/>
      <c r="N94" s="12"/>
      <c r="O94" s="13"/>
      <c r="P94" s="21" t="s">
        <v>333</v>
      </c>
    </row>
    <row r="95" customFormat="false" ht="19.5" hidden="false" customHeight="true" outlineLevel="0" collapsed="false">
      <c r="A95" s="31"/>
      <c r="B95" s="31"/>
      <c r="C95" s="5" t="s">
        <v>334</v>
      </c>
      <c r="D95" s="6" t="s">
        <v>335</v>
      </c>
      <c r="E95" s="7" t="s">
        <v>21</v>
      </c>
      <c r="F95" s="7" t="s">
        <v>63</v>
      </c>
      <c r="G95" s="32" t="s">
        <v>23</v>
      </c>
      <c r="H95" s="32" t="s">
        <v>23</v>
      </c>
      <c r="I95" s="32" t="s">
        <v>23</v>
      </c>
      <c r="J95" s="32" t="s">
        <v>23</v>
      </c>
      <c r="K95" s="9" t="s">
        <v>24</v>
      </c>
      <c r="L95" s="10" t="s">
        <v>25</v>
      </c>
      <c r="M95" s="11"/>
      <c r="N95" s="12"/>
      <c r="O95" s="13"/>
      <c r="P95" s="14" t="s">
        <v>336</v>
      </c>
    </row>
    <row r="96" customFormat="false" ht="19.5" hidden="false" customHeight="true" outlineLevel="0" collapsed="false">
      <c r="A96" s="31"/>
      <c r="B96" s="31"/>
      <c r="C96" s="16" t="s">
        <v>337</v>
      </c>
      <c r="D96" s="17" t="s">
        <v>338</v>
      </c>
      <c r="E96" s="18" t="s">
        <v>114</v>
      </c>
      <c r="F96" s="18" t="s">
        <v>44</v>
      </c>
      <c r="G96" s="30" t="s">
        <v>23</v>
      </c>
      <c r="H96" s="30" t="s">
        <v>23</v>
      </c>
      <c r="I96" s="30" t="s">
        <v>23</v>
      </c>
      <c r="J96" s="30" t="s">
        <v>23</v>
      </c>
      <c r="K96" s="9" t="s">
        <v>24</v>
      </c>
      <c r="L96" s="10" t="s">
        <v>25</v>
      </c>
      <c r="M96" s="11"/>
      <c r="N96" s="12"/>
      <c r="O96" s="13"/>
      <c r="P96" s="21" t="s">
        <v>339</v>
      </c>
    </row>
    <row r="97" customFormat="false" ht="19.5" hidden="false" customHeight="true" outlineLevel="0" collapsed="false">
      <c r="A97" s="31"/>
      <c r="B97" s="31"/>
      <c r="C97" s="5" t="s">
        <v>340</v>
      </c>
      <c r="D97" s="6" t="s">
        <v>341</v>
      </c>
      <c r="E97" s="7" t="s">
        <v>21</v>
      </c>
      <c r="F97" s="7" t="s">
        <v>63</v>
      </c>
      <c r="G97" s="32" t="s">
        <v>23</v>
      </c>
      <c r="H97" s="32" t="s">
        <v>23</v>
      </c>
      <c r="I97" s="22" t="s">
        <v>30</v>
      </c>
      <c r="J97" s="32" t="s">
        <v>23</v>
      </c>
      <c r="K97" s="9" t="s">
        <v>24</v>
      </c>
      <c r="L97" s="10" t="s">
        <v>25</v>
      </c>
      <c r="M97" s="11"/>
      <c r="N97" s="12"/>
      <c r="O97" s="13"/>
      <c r="P97" s="14" t="s">
        <v>342</v>
      </c>
    </row>
    <row r="98" customFormat="false" ht="19.5" hidden="false" customHeight="true" outlineLevel="0" collapsed="false">
      <c r="A98" s="31"/>
      <c r="B98" s="31"/>
      <c r="C98" s="16" t="s">
        <v>343</v>
      </c>
      <c r="D98" s="17" t="s">
        <v>344</v>
      </c>
      <c r="E98" s="18" t="s">
        <v>21</v>
      </c>
      <c r="F98" s="18" t="s">
        <v>63</v>
      </c>
      <c r="G98" s="30" t="s">
        <v>23</v>
      </c>
      <c r="H98" s="20" t="s">
        <v>30</v>
      </c>
      <c r="I98" s="30" t="s">
        <v>23</v>
      </c>
      <c r="J98" s="30" t="s">
        <v>23</v>
      </c>
      <c r="K98" s="9" t="s">
        <v>24</v>
      </c>
      <c r="L98" s="10" t="s">
        <v>25</v>
      </c>
      <c r="M98" s="11"/>
      <c r="N98" s="12"/>
      <c r="O98" s="13"/>
      <c r="P98" s="21" t="s">
        <v>345</v>
      </c>
    </row>
    <row r="99" customFormat="false" ht="19.5" hidden="false" customHeight="true" outlineLevel="0" collapsed="false">
      <c r="A99" s="31"/>
      <c r="B99" s="31"/>
      <c r="C99" s="5" t="s">
        <v>346</v>
      </c>
      <c r="D99" s="6" t="s">
        <v>347</v>
      </c>
      <c r="E99" s="7" t="s">
        <v>21</v>
      </c>
      <c r="F99" s="7" t="s">
        <v>216</v>
      </c>
      <c r="G99" s="32" t="s">
        <v>23</v>
      </c>
      <c r="H99" s="22" t="s">
        <v>30</v>
      </c>
      <c r="I99" s="32" t="s">
        <v>23</v>
      </c>
      <c r="J99" s="32" t="s">
        <v>23</v>
      </c>
      <c r="K99" s="9" t="s">
        <v>24</v>
      </c>
      <c r="L99" s="10" t="s">
        <v>25</v>
      </c>
      <c r="M99" s="11"/>
      <c r="N99" s="12"/>
      <c r="O99" s="13"/>
      <c r="P99" s="14" t="s">
        <v>348</v>
      </c>
    </row>
    <row r="100" customFormat="false" ht="19.5" hidden="false" customHeight="true" outlineLevel="0" collapsed="false">
      <c r="A100" s="31"/>
      <c r="B100" s="31"/>
      <c r="C100" s="16" t="s">
        <v>349</v>
      </c>
      <c r="D100" s="17" t="s">
        <v>350</v>
      </c>
      <c r="E100" s="18" t="s">
        <v>21</v>
      </c>
      <c r="F100" s="18" t="s">
        <v>246</v>
      </c>
      <c r="G100" s="30" t="s">
        <v>23</v>
      </c>
      <c r="H100" s="20" t="s">
        <v>30</v>
      </c>
      <c r="I100" s="30" t="s">
        <v>23</v>
      </c>
      <c r="J100" s="20" t="s">
        <v>30</v>
      </c>
      <c r="K100" s="9" t="s">
        <v>24</v>
      </c>
      <c r="L100" s="10" t="s">
        <v>25</v>
      </c>
      <c r="M100" s="11"/>
      <c r="N100" s="12"/>
      <c r="O100" s="13"/>
      <c r="P100" s="21" t="s">
        <v>351</v>
      </c>
    </row>
    <row r="101" customFormat="false" ht="19.5" hidden="false" customHeight="true" outlineLevel="0" collapsed="false">
      <c r="A101" s="31"/>
      <c r="B101" s="31"/>
      <c r="C101" s="5" t="s">
        <v>352</v>
      </c>
      <c r="D101" s="6" t="s">
        <v>353</v>
      </c>
      <c r="E101" s="7" t="s">
        <v>21</v>
      </c>
      <c r="F101" s="7" t="s">
        <v>63</v>
      </c>
      <c r="G101" s="32" t="s">
        <v>23</v>
      </c>
      <c r="H101" s="22" t="s">
        <v>30</v>
      </c>
      <c r="I101" s="32" t="s">
        <v>23</v>
      </c>
      <c r="J101" s="22" t="s">
        <v>30</v>
      </c>
      <c r="K101" s="9" t="s">
        <v>24</v>
      </c>
      <c r="L101" s="10" t="s">
        <v>25</v>
      </c>
      <c r="M101" s="11"/>
      <c r="N101" s="12"/>
      <c r="O101" s="13"/>
      <c r="P101" s="14" t="s">
        <v>354</v>
      </c>
    </row>
    <row r="102" customFormat="false" ht="19.5" hidden="false" customHeight="true" outlineLevel="0" collapsed="false">
      <c r="A102" s="31"/>
      <c r="B102" s="31"/>
      <c r="C102" s="16" t="s">
        <v>355</v>
      </c>
      <c r="D102" s="17" t="s">
        <v>356</v>
      </c>
      <c r="E102" s="18" t="s">
        <v>21</v>
      </c>
      <c r="F102" s="18" t="s">
        <v>216</v>
      </c>
      <c r="G102" s="30" t="s">
        <v>23</v>
      </c>
      <c r="H102" s="20" t="s">
        <v>30</v>
      </c>
      <c r="I102" s="30" t="s">
        <v>23</v>
      </c>
      <c r="J102" s="20" t="s">
        <v>30</v>
      </c>
      <c r="K102" s="9" t="s">
        <v>24</v>
      </c>
      <c r="L102" s="10" t="s">
        <v>25</v>
      </c>
      <c r="M102" s="11"/>
      <c r="N102" s="12"/>
      <c r="O102" s="13"/>
      <c r="P102" s="21" t="s">
        <v>357</v>
      </c>
    </row>
    <row r="103" customFormat="false" ht="19.5" hidden="false" customHeight="true" outlineLevel="0" collapsed="false">
      <c r="A103" s="31"/>
      <c r="B103" s="31"/>
      <c r="C103" s="5" t="s">
        <v>358</v>
      </c>
      <c r="D103" s="6" t="s">
        <v>359</v>
      </c>
      <c r="E103" s="7" t="s">
        <v>21</v>
      </c>
      <c r="F103" s="7" t="s">
        <v>246</v>
      </c>
      <c r="G103" s="32" t="s">
        <v>23</v>
      </c>
      <c r="H103" s="22" t="s">
        <v>30</v>
      </c>
      <c r="I103" s="32" t="s">
        <v>23</v>
      </c>
      <c r="J103" s="22" t="s">
        <v>30</v>
      </c>
      <c r="K103" s="9" t="s">
        <v>24</v>
      </c>
      <c r="L103" s="10" t="s">
        <v>25</v>
      </c>
      <c r="M103" s="11"/>
      <c r="N103" s="12"/>
      <c r="O103" s="13"/>
      <c r="P103" s="14" t="s">
        <v>360</v>
      </c>
    </row>
    <row r="104" customFormat="false" ht="19.5" hidden="false" customHeight="true" outlineLevel="0" collapsed="false">
      <c r="A104" s="31"/>
      <c r="B104" s="31"/>
      <c r="C104" s="16" t="s">
        <v>361</v>
      </c>
      <c r="D104" s="17" t="s">
        <v>362</v>
      </c>
      <c r="E104" s="18" t="s">
        <v>21</v>
      </c>
      <c r="F104" s="18" t="s">
        <v>216</v>
      </c>
      <c r="G104" s="30" t="s">
        <v>23</v>
      </c>
      <c r="H104" s="20" t="s">
        <v>30</v>
      </c>
      <c r="I104" s="30" t="s">
        <v>23</v>
      </c>
      <c r="J104" s="20" t="s">
        <v>30</v>
      </c>
      <c r="K104" s="9" t="s">
        <v>24</v>
      </c>
      <c r="L104" s="10" t="s">
        <v>25</v>
      </c>
      <c r="M104" s="11"/>
      <c r="N104" s="12"/>
      <c r="O104" s="13"/>
      <c r="P104" s="21" t="s">
        <v>363</v>
      </c>
    </row>
    <row r="105" customFormat="false" ht="19.5" hidden="false" customHeight="true" outlineLevel="0" collapsed="false">
      <c r="A105" s="31"/>
      <c r="B105" s="31"/>
      <c r="C105" s="5" t="s">
        <v>364</v>
      </c>
      <c r="D105" s="6" t="s">
        <v>365</v>
      </c>
      <c r="E105" s="7" t="s">
        <v>21</v>
      </c>
      <c r="F105" s="7" t="s">
        <v>216</v>
      </c>
      <c r="G105" s="32" t="s">
        <v>23</v>
      </c>
      <c r="H105" s="22" t="s">
        <v>30</v>
      </c>
      <c r="I105" s="32" t="s">
        <v>23</v>
      </c>
      <c r="J105" s="22" t="s">
        <v>30</v>
      </c>
      <c r="K105" s="9" t="s">
        <v>24</v>
      </c>
      <c r="L105" s="10" t="s">
        <v>25</v>
      </c>
      <c r="M105" s="11"/>
      <c r="N105" s="12"/>
      <c r="O105" s="13"/>
      <c r="P105" s="14" t="s">
        <v>366</v>
      </c>
    </row>
    <row r="106" customFormat="false" ht="19.5" hidden="false" customHeight="true" outlineLevel="0" collapsed="false">
      <c r="A106" s="33" t="s">
        <v>367</v>
      </c>
      <c r="B106" s="34" t="s">
        <v>367</v>
      </c>
      <c r="C106" s="16" t="s">
        <v>368</v>
      </c>
      <c r="D106" s="17" t="s">
        <v>369</v>
      </c>
      <c r="E106" s="18" t="s">
        <v>43</v>
      </c>
      <c r="F106" s="18" t="s">
        <v>44</v>
      </c>
      <c r="G106" s="35" t="s">
        <v>23</v>
      </c>
      <c r="H106" s="35" t="s">
        <v>23</v>
      </c>
      <c r="I106" s="35" t="s">
        <v>23</v>
      </c>
      <c r="J106" s="35" t="s">
        <v>23</v>
      </c>
      <c r="K106" s="9" t="s">
        <v>24</v>
      </c>
      <c r="L106" s="10" t="s">
        <v>25</v>
      </c>
      <c r="M106" s="11"/>
      <c r="N106" s="12"/>
      <c r="O106" s="13"/>
      <c r="P106" s="21" t="s">
        <v>370</v>
      </c>
    </row>
    <row r="107" customFormat="false" ht="19.5" hidden="false" customHeight="true" outlineLevel="0" collapsed="false">
      <c r="A107" s="36"/>
      <c r="B107" s="36"/>
      <c r="C107" s="5" t="s">
        <v>371</v>
      </c>
      <c r="D107" s="6" t="s">
        <v>372</v>
      </c>
      <c r="E107" s="7" t="s">
        <v>21</v>
      </c>
      <c r="F107" s="7" t="s">
        <v>48</v>
      </c>
      <c r="G107" s="37" t="s">
        <v>23</v>
      </c>
      <c r="H107" s="37" t="s">
        <v>23</v>
      </c>
      <c r="I107" s="37" t="s">
        <v>23</v>
      </c>
      <c r="J107" s="37" t="s">
        <v>23</v>
      </c>
      <c r="K107" s="9" t="s">
        <v>24</v>
      </c>
      <c r="L107" s="10" t="s">
        <v>25</v>
      </c>
      <c r="M107" s="11"/>
      <c r="N107" s="12"/>
      <c r="O107" s="13"/>
      <c r="P107" s="14" t="s">
        <v>373</v>
      </c>
    </row>
    <row r="108" customFormat="false" ht="19.5" hidden="false" customHeight="true" outlineLevel="0" collapsed="false">
      <c r="A108" s="36"/>
      <c r="B108" s="36"/>
      <c r="C108" s="16" t="s">
        <v>374</v>
      </c>
      <c r="D108" s="17" t="s">
        <v>375</v>
      </c>
      <c r="E108" s="18" t="s">
        <v>21</v>
      </c>
      <c r="F108" s="18" t="s">
        <v>246</v>
      </c>
      <c r="G108" s="35" t="s">
        <v>23</v>
      </c>
      <c r="H108" s="35" t="s">
        <v>23</v>
      </c>
      <c r="I108" s="35" t="s">
        <v>23</v>
      </c>
      <c r="J108" s="35" t="s">
        <v>23</v>
      </c>
      <c r="K108" s="9" t="s">
        <v>24</v>
      </c>
      <c r="L108" s="10" t="s">
        <v>25</v>
      </c>
      <c r="M108" s="11"/>
      <c r="N108" s="12"/>
      <c r="O108" s="13"/>
      <c r="P108" s="21" t="s">
        <v>376</v>
      </c>
    </row>
    <row r="109" customFormat="false" ht="19.5" hidden="false" customHeight="true" outlineLevel="0" collapsed="false">
      <c r="A109" s="36"/>
      <c r="B109" s="36"/>
      <c r="C109" s="5" t="s">
        <v>377</v>
      </c>
      <c r="D109" s="6" t="s">
        <v>378</v>
      </c>
      <c r="E109" s="7" t="s">
        <v>43</v>
      </c>
      <c r="F109" s="7" t="s">
        <v>44</v>
      </c>
      <c r="G109" s="37" t="s">
        <v>23</v>
      </c>
      <c r="H109" s="22" t="s">
        <v>30</v>
      </c>
      <c r="I109" s="22" t="s">
        <v>30</v>
      </c>
      <c r="J109" s="37" t="s">
        <v>23</v>
      </c>
      <c r="K109" s="9" t="s">
        <v>24</v>
      </c>
      <c r="L109" s="10" t="s">
        <v>25</v>
      </c>
      <c r="M109" s="11"/>
      <c r="N109" s="12"/>
      <c r="O109" s="13"/>
      <c r="P109" s="14" t="s">
        <v>379</v>
      </c>
    </row>
    <row r="110" customFormat="false" ht="19.5" hidden="false" customHeight="true" outlineLevel="0" collapsed="false">
      <c r="A110" s="36"/>
      <c r="B110" s="36"/>
      <c r="C110" s="16" t="s">
        <v>380</v>
      </c>
      <c r="D110" s="17" t="s">
        <v>381</v>
      </c>
      <c r="E110" s="18" t="s">
        <v>114</v>
      </c>
      <c r="F110" s="18" t="s">
        <v>44</v>
      </c>
      <c r="G110" s="35" t="s">
        <v>23</v>
      </c>
      <c r="H110" s="20" t="s">
        <v>30</v>
      </c>
      <c r="I110" s="35" t="s">
        <v>23</v>
      </c>
      <c r="J110" s="35" t="s">
        <v>23</v>
      </c>
      <c r="K110" s="9" t="s">
        <v>24</v>
      </c>
      <c r="L110" s="10" t="s">
        <v>25</v>
      </c>
      <c r="M110" s="11"/>
      <c r="N110" s="12"/>
      <c r="O110" s="13"/>
      <c r="P110" s="21" t="s">
        <v>382</v>
      </c>
    </row>
    <row r="111" customFormat="false" ht="19.5" hidden="false" customHeight="true" outlineLevel="0" collapsed="false">
      <c r="A111" s="36"/>
      <c r="B111" s="36"/>
      <c r="C111" s="5" t="s">
        <v>383</v>
      </c>
      <c r="D111" s="6" t="s">
        <v>384</v>
      </c>
      <c r="E111" s="7" t="s">
        <v>114</v>
      </c>
      <c r="F111" s="7" t="s">
        <v>44</v>
      </c>
      <c r="G111" s="37" t="s">
        <v>23</v>
      </c>
      <c r="H111" s="22" t="s">
        <v>30</v>
      </c>
      <c r="I111" s="37" t="s">
        <v>23</v>
      </c>
      <c r="J111" s="22" t="s">
        <v>30</v>
      </c>
      <c r="K111" s="9" t="s">
        <v>24</v>
      </c>
      <c r="L111" s="10" t="s">
        <v>25</v>
      </c>
      <c r="M111" s="11"/>
      <c r="N111" s="12"/>
      <c r="O111" s="13"/>
      <c r="P111" s="14" t="s">
        <v>385</v>
      </c>
    </row>
    <row r="112" customFormat="false" ht="19.5" hidden="false" customHeight="true" outlineLevel="0" collapsed="false">
      <c r="A112" s="36"/>
      <c r="B112" s="36"/>
      <c r="C112" s="16" t="s">
        <v>386</v>
      </c>
      <c r="D112" s="17" t="s">
        <v>387</v>
      </c>
      <c r="E112" s="18" t="s">
        <v>114</v>
      </c>
      <c r="F112" s="18" t="s">
        <v>44</v>
      </c>
      <c r="G112" s="35" t="s">
        <v>23</v>
      </c>
      <c r="H112" s="35" t="s">
        <v>23</v>
      </c>
      <c r="I112" s="35" t="s">
        <v>23</v>
      </c>
      <c r="J112" s="35" t="s">
        <v>23</v>
      </c>
      <c r="K112" s="9" t="s">
        <v>24</v>
      </c>
      <c r="L112" s="10" t="s">
        <v>25</v>
      </c>
      <c r="M112" s="11"/>
      <c r="N112" s="12"/>
      <c r="O112" s="13"/>
      <c r="P112" s="21" t="s">
        <v>388</v>
      </c>
    </row>
    <row r="113" customFormat="false" ht="19.5" hidden="false" customHeight="true" outlineLevel="0" collapsed="false">
      <c r="A113" s="36"/>
      <c r="B113" s="36"/>
      <c r="C113" s="5" t="s">
        <v>389</v>
      </c>
      <c r="D113" s="6" t="s">
        <v>390</v>
      </c>
      <c r="E113" s="7" t="s">
        <v>114</v>
      </c>
      <c r="F113" s="7" t="s">
        <v>44</v>
      </c>
      <c r="G113" s="37" t="s">
        <v>23</v>
      </c>
      <c r="H113" s="37" t="s">
        <v>23</v>
      </c>
      <c r="I113" s="37" t="s">
        <v>23</v>
      </c>
      <c r="J113" s="37" t="s">
        <v>23</v>
      </c>
      <c r="K113" s="9" t="s">
        <v>24</v>
      </c>
      <c r="L113" s="10" t="s">
        <v>25</v>
      </c>
      <c r="M113" s="11"/>
      <c r="N113" s="12"/>
      <c r="O113" s="13"/>
      <c r="P113" s="14" t="s">
        <v>391</v>
      </c>
    </row>
  </sheetData>
  <mergeCells count="1">
    <mergeCell ref="A1:P1"/>
  </mergeCells>
  <conditionalFormatting sqref="L3:L113">
    <cfRule type="cellIs" priority="2" operator="equal" aboveAverage="0" equalAverage="0" bottom="0" percent="0" rank="0" text="" dxfId="0">
      <formula>"Approved"</formula>
    </cfRule>
    <cfRule type="cellIs" priority="3" operator="equal" aboveAverage="0" equalAverage="0" bottom="0" percent="0" rank="0" text="" dxfId="1">
      <formula>"In Review"</formula>
    </cfRule>
    <cfRule type="cellIs" priority="4" operator="equal" aboveAverage="0" equalAverage="0" bottom="0" percent="0" rank="0" text="" dxfId="2">
      <formula>"Flagged"</formula>
    </cfRule>
    <cfRule type="cellIs" priority="5" operator="equal" aboveAverage="0" equalAverage="0" bottom="0" percent="0" rank="0" text="" dxfId="3">
      <formula>"Pending"</formula>
    </cfRule>
  </conditionalFormatting>
  <dataValidations count="2">
    <dataValidation allowBlank="true" error="Please select: Approved, In Review, Flagged, or Pending" errorStyle="stop" errorTitle="Invalid status" operator="between" showDropDown="false" showErrorMessage="true" showInputMessage="false" sqref="L3:L113" type="list">
      <formula1>"Approved,In Review,Flagged,Pending"</formula1>
      <formula2>0</formula2>
    </dataValidation>
    <dataValidation allowBlank="true" errorStyle="stop" operator="between" showDropDown="false" showErrorMessage="false" showInputMessage="false" sqref="E3:E113" type="list">
      <formula1>"number,text,boolean,select"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50"/>
  </cols>
  <sheetData>
    <row r="1" customFormat="false" ht="30" hidden="false" customHeight="true" outlineLevel="0" collapsed="false">
      <c r="A1" s="38" t="s">
        <v>392</v>
      </c>
      <c r="B1" s="38"/>
      <c r="C1" s="38"/>
    </row>
    <row r="3" customFormat="false" ht="25.5" hidden="false" customHeight="true" outlineLevel="0" collapsed="false">
      <c r="A3" s="38" t="s">
        <v>393</v>
      </c>
      <c r="B3" s="38"/>
      <c r="C3" s="38"/>
    </row>
    <row r="4" customFormat="false" ht="18" hidden="false" customHeight="true" outlineLevel="0" collapsed="false">
      <c r="A4" s="39" t="s">
        <v>394</v>
      </c>
      <c r="B4" s="39" t="s">
        <v>395</v>
      </c>
      <c r="C4" s="39" t="s">
        <v>396</v>
      </c>
    </row>
    <row r="5" customFormat="false" ht="18" hidden="false" customHeight="true" outlineLevel="0" collapsed="false">
      <c r="A5" s="40" t="s">
        <v>397</v>
      </c>
      <c r="B5" s="40" t="s">
        <v>398</v>
      </c>
      <c r="C5" s="40" t="s">
        <v>399</v>
      </c>
    </row>
    <row r="6" customFormat="false" ht="18" hidden="false" customHeight="true" outlineLevel="0" collapsed="false">
      <c r="A6" s="41" t="s">
        <v>397</v>
      </c>
      <c r="B6" s="41" t="s">
        <v>400</v>
      </c>
      <c r="C6" s="41" t="s">
        <v>401</v>
      </c>
    </row>
    <row r="7" customFormat="false" ht="18" hidden="false" customHeight="true" outlineLevel="0" collapsed="false">
      <c r="A7" s="40" t="s">
        <v>402</v>
      </c>
      <c r="B7" s="40" t="s">
        <v>24</v>
      </c>
      <c r="C7" s="40" t="s">
        <v>403</v>
      </c>
    </row>
    <row r="9" customFormat="false" ht="25.5" hidden="false" customHeight="true" outlineLevel="0" collapsed="false">
      <c r="A9" s="38" t="s">
        <v>404</v>
      </c>
      <c r="B9" s="38"/>
      <c r="C9" s="38"/>
    </row>
    <row r="10" customFormat="false" ht="19.5" hidden="false" customHeight="true" outlineLevel="0" collapsed="false">
      <c r="A10" s="42" t="s">
        <v>405</v>
      </c>
      <c r="B10" s="43" t="s">
        <v>17</v>
      </c>
      <c r="C10" s="44"/>
    </row>
    <row r="11" customFormat="false" ht="19.5" hidden="false" customHeight="true" outlineLevel="0" collapsed="false">
      <c r="A11" s="45" t="s">
        <v>406</v>
      </c>
      <c r="B11" s="46" t="s">
        <v>212</v>
      </c>
      <c r="C11" s="47"/>
    </row>
    <row r="12" customFormat="false" ht="19.5" hidden="false" customHeight="true" outlineLevel="0" collapsed="false">
      <c r="A12" s="48" t="s">
        <v>407</v>
      </c>
      <c r="B12" s="49" t="s">
        <v>330</v>
      </c>
      <c r="C12" s="50"/>
    </row>
    <row r="13" customFormat="false" ht="19.5" hidden="false" customHeight="true" outlineLevel="0" collapsed="false">
      <c r="A13" s="51" t="s">
        <v>408</v>
      </c>
      <c r="B13" s="52" t="s">
        <v>367</v>
      </c>
      <c r="C13" s="53"/>
    </row>
    <row r="15" customFormat="false" ht="25.5" hidden="false" customHeight="true" outlineLevel="0" collapsed="false">
      <c r="A15" s="38" t="s">
        <v>409</v>
      </c>
      <c r="B15" s="38"/>
      <c r="C15" s="38"/>
    </row>
    <row r="16" customFormat="false" ht="19.5" hidden="false" customHeight="true" outlineLevel="0" collapsed="false">
      <c r="A16" s="54" t="s">
        <v>25</v>
      </c>
      <c r="B16" s="55" t="s">
        <v>410</v>
      </c>
      <c r="C16" s="56"/>
    </row>
    <row r="17" customFormat="false" ht="19.5" hidden="false" customHeight="true" outlineLevel="0" collapsed="false">
      <c r="A17" s="57" t="s">
        <v>411</v>
      </c>
      <c r="B17" s="55" t="s">
        <v>412</v>
      </c>
      <c r="C17" s="56"/>
    </row>
    <row r="18" customFormat="false" ht="19.5" hidden="false" customHeight="true" outlineLevel="0" collapsed="false">
      <c r="A18" s="58" t="s">
        <v>413</v>
      </c>
      <c r="B18" s="55" t="s">
        <v>414</v>
      </c>
      <c r="C18" s="56"/>
    </row>
    <row r="19" customFormat="false" ht="19.5" hidden="false" customHeight="true" outlineLevel="0" collapsed="false">
      <c r="A19" s="59" t="s">
        <v>415</v>
      </c>
      <c r="B19" s="55" t="s">
        <v>416</v>
      </c>
      <c r="C19" s="56"/>
    </row>
    <row r="21" customFormat="false" ht="25.5" hidden="false" customHeight="true" outlineLevel="0" collapsed="false">
      <c r="A21" s="38" t="s">
        <v>417</v>
      </c>
      <c r="B21" s="38"/>
      <c r="C21" s="38"/>
    </row>
    <row r="22" customFormat="false" ht="21.75" hidden="false" customHeight="true" outlineLevel="0" collapsed="false">
      <c r="A22" s="60" t="s">
        <v>3</v>
      </c>
      <c r="B22" s="61" t="s">
        <v>418</v>
      </c>
      <c r="C22" s="62"/>
    </row>
    <row r="23" customFormat="false" ht="21.75" hidden="false" customHeight="true" outlineLevel="0" collapsed="false">
      <c r="A23" s="63" t="s">
        <v>4</v>
      </c>
      <c r="B23" s="64" t="s">
        <v>419</v>
      </c>
      <c r="C23" s="65"/>
    </row>
    <row r="24" customFormat="false" ht="21.75" hidden="false" customHeight="true" outlineLevel="0" collapsed="false">
      <c r="A24" s="60" t="s">
        <v>5</v>
      </c>
      <c r="B24" s="61" t="s">
        <v>420</v>
      </c>
      <c r="C24" s="62"/>
    </row>
    <row r="25" customFormat="false" ht="21.75" hidden="false" customHeight="true" outlineLevel="0" collapsed="false">
      <c r="A25" s="63" t="s">
        <v>6</v>
      </c>
      <c r="B25" s="64" t="s">
        <v>421</v>
      </c>
      <c r="C25" s="65"/>
    </row>
    <row r="26" customFormat="false" ht="21.75" hidden="false" customHeight="true" outlineLevel="0" collapsed="false">
      <c r="A26" s="60" t="s">
        <v>422</v>
      </c>
      <c r="B26" s="61" t="s">
        <v>423</v>
      </c>
      <c r="C26" s="62"/>
    </row>
    <row r="27" customFormat="false" ht="21.75" hidden="false" customHeight="true" outlineLevel="0" collapsed="false">
      <c r="A27" s="63" t="s">
        <v>402</v>
      </c>
      <c r="B27" s="64" t="s">
        <v>424</v>
      </c>
      <c r="C27" s="65"/>
    </row>
    <row r="28" customFormat="false" ht="21.75" hidden="false" customHeight="true" outlineLevel="0" collapsed="false">
      <c r="A28" s="60" t="s">
        <v>12</v>
      </c>
      <c r="B28" s="61" t="s">
        <v>425</v>
      </c>
      <c r="C28" s="62"/>
    </row>
    <row r="29" customFormat="false" ht="21.75" hidden="false" customHeight="true" outlineLevel="0" collapsed="false">
      <c r="A29" s="63" t="s">
        <v>13</v>
      </c>
      <c r="B29" s="64" t="s">
        <v>426</v>
      </c>
      <c r="C29" s="65"/>
    </row>
    <row r="30" customFormat="false" ht="21.75" hidden="false" customHeight="true" outlineLevel="0" collapsed="false">
      <c r="A30" s="60" t="s">
        <v>14</v>
      </c>
      <c r="B30" s="61" t="s">
        <v>427</v>
      </c>
      <c r="C30" s="62"/>
    </row>
    <row r="31" customFormat="false" ht="21.75" hidden="false" customHeight="true" outlineLevel="0" collapsed="false">
      <c r="A31" s="63" t="s">
        <v>15</v>
      </c>
      <c r="B31" s="64" t="s">
        <v>428</v>
      </c>
      <c r="C31" s="65"/>
    </row>
    <row r="32" customFormat="false" ht="21.75" hidden="false" customHeight="true" outlineLevel="0" collapsed="false">
      <c r="A32" s="60" t="s">
        <v>16</v>
      </c>
      <c r="B32" s="61" t="s">
        <v>429</v>
      </c>
      <c r="C32" s="62"/>
    </row>
  </sheetData>
  <mergeCells count="5">
    <mergeCell ref="A1:C1"/>
    <mergeCell ref="A3:C3"/>
    <mergeCell ref="A9:C9"/>
    <mergeCell ref="A15:C15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27.75" hidden="false" customHeight="true" outlineLevel="0" collapsed="false">
      <c r="A1" s="38" t="s">
        <v>430</v>
      </c>
      <c r="B1" s="38"/>
      <c r="C1" s="38"/>
      <c r="D1" s="38"/>
      <c r="E1" s="38"/>
      <c r="F1" s="38"/>
      <c r="G1" s="38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431</v>
      </c>
      <c r="D2" s="2" t="s">
        <v>13</v>
      </c>
      <c r="E2" s="2" t="s">
        <v>432</v>
      </c>
      <c r="F2" s="2" t="s">
        <v>14</v>
      </c>
      <c r="G2" s="2" t="s">
        <v>433</v>
      </c>
    </row>
    <row r="3" customFormat="false" ht="18" hidden="false" customHeight="true" outlineLevel="0" collapsed="false">
      <c r="A3" s="3" t="str">
        <f aca="false">'Shared Core Registry'!A3</f>
        <v>Environment</v>
      </c>
      <c r="B3" s="66" t="str">
        <f aca="false">'Shared Core Registry'!B3</f>
        <v>GHG — Scope 1</v>
      </c>
      <c r="C3" s="5" t="str">
        <f aca="false">'Shared Core Registry'!C3</f>
        <v>GHG_SCOPE1_TOTAL_tCO2e</v>
      </c>
      <c r="D3" s="67" t="n">
        <f aca="false">'Shared Core Registry'!M3</f>
        <v>0</v>
      </c>
      <c r="E3" s="68" t="str">
        <f aca="false">'Shared Core Registry'!L3</f>
        <v>Pending</v>
      </c>
      <c r="F3" s="69" t="n">
        <f aca="false">'Shared Core Registry'!N3</f>
        <v>0</v>
      </c>
      <c r="G3" s="70" t="n">
        <f aca="false">'Shared Core Registry'!O3</f>
        <v>0</v>
      </c>
    </row>
    <row r="4" customFormat="false" ht="18" hidden="false" customHeight="true" outlineLevel="0" collapsed="false">
      <c r="A4" s="3" t="n">
        <f aca="false">'Shared Core Registry'!A4</f>
        <v>0</v>
      </c>
      <c r="B4" s="66" t="n">
        <f aca="false">'Shared Core Registry'!B4</f>
        <v>0</v>
      </c>
      <c r="C4" s="16" t="str">
        <f aca="false">'Shared Core Registry'!C4</f>
        <v>GHG_SCOPE1_CO2_tCO2</v>
      </c>
      <c r="D4" s="71" t="n">
        <f aca="false">'Shared Core Registry'!M4</f>
        <v>0</v>
      </c>
      <c r="E4" s="72" t="str">
        <f aca="false">'Shared Core Registry'!L4</f>
        <v>Pending</v>
      </c>
      <c r="F4" s="73" t="n">
        <f aca="false">'Shared Core Registry'!N4</f>
        <v>0</v>
      </c>
      <c r="G4" s="74" t="n">
        <f aca="false">'Shared Core Registry'!O4</f>
        <v>0</v>
      </c>
    </row>
    <row r="5" customFormat="false" ht="18" hidden="false" customHeight="true" outlineLevel="0" collapsed="false">
      <c r="A5" s="3" t="n">
        <f aca="false">'Shared Core Registry'!A5</f>
        <v>0</v>
      </c>
      <c r="B5" s="66" t="n">
        <f aca="false">'Shared Core Registry'!B5</f>
        <v>0</v>
      </c>
      <c r="C5" s="5" t="str">
        <f aca="false">'Shared Core Registry'!C5</f>
        <v>GHG_SCOPE1_CH4_tCO2e</v>
      </c>
      <c r="D5" s="67" t="n">
        <f aca="false">'Shared Core Registry'!M5</f>
        <v>0</v>
      </c>
      <c r="E5" s="68" t="str">
        <f aca="false">'Shared Core Registry'!L5</f>
        <v>Pending</v>
      </c>
      <c r="F5" s="69" t="n">
        <f aca="false">'Shared Core Registry'!N5</f>
        <v>0</v>
      </c>
      <c r="G5" s="70" t="n">
        <f aca="false">'Shared Core Registry'!O5</f>
        <v>0</v>
      </c>
    </row>
    <row r="6" customFormat="false" ht="18" hidden="false" customHeight="true" outlineLevel="0" collapsed="false">
      <c r="A6" s="3" t="n">
        <f aca="false">'Shared Core Registry'!A6</f>
        <v>0</v>
      </c>
      <c r="B6" s="66" t="n">
        <f aca="false">'Shared Core Registry'!B6</f>
        <v>0</v>
      </c>
      <c r="C6" s="16" t="str">
        <f aca="false">'Shared Core Registry'!C6</f>
        <v>GHG_SCOPE1_N2O_tCO2e</v>
      </c>
      <c r="D6" s="71" t="n">
        <f aca="false">'Shared Core Registry'!M6</f>
        <v>0</v>
      </c>
      <c r="E6" s="72" t="str">
        <f aca="false">'Shared Core Registry'!L6</f>
        <v>Pending</v>
      </c>
      <c r="F6" s="73" t="n">
        <f aca="false">'Shared Core Registry'!N6</f>
        <v>0</v>
      </c>
      <c r="G6" s="74" t="n">
        <f aca="false">'Shared Core Registry'!O6</f>
        <v>0</v>
      </c>
    </row>
    <row r="7" customFormat="false" ht="18" hidden="false" customHeight="true" outlineLevel="0" collapsed="false">
      <c r="A7" s="3" t="n">
        <f aca="false">'Shared Core Registry'!A7</f>
        <v>0</v>
      </c>
      <c r="B7" s="66" t="n">
        <f aca="false">'Shared Core Registry'!B7</f>
        <v>0</v>
      </c>
      <c r="C7" s="5" t="str">
        <f aca="false">'Shared Core Registry'!C7</f>
        <v>GHG_SCOPE1_BIOGENIC_tCO2</v>
      </c>
      <c r="D7" s="67" t="n">
        <f aca="false">'Shared Core Registry'!M7</f>
        <v>0</v>
      </c>
      <c r="E7" s="68" t="str">
        <f aca="false">'Shared Core Registry'!L7</f>
        <v>Pending</v>
      </c>
      <c r="F7" s="69" t="n">
        <f aca="false">'Shared Core Registry'!N7</f>
        <v>0</v>
      </c>
      <c r="G7" s="70" t="n">
        <f aca="false">'Shared Core Registry'!O7</f>
        <v>0</v>
      </c>
    </row>
    <row r="8" customFormat="false" ht="18" hidden="false" customHeight="true" outlineLevel="0" collapsed="false">
      <c r="A8" s="3" t="n">
        <f aca="false">'Shared Core Registry'!A8</f>
        <v>0</v>
      </c>
      <c r="B8" s="66" t="n">
        <f aca="false">'Shared Core Registry'!B8</f>
        <v>0</v>
      </c>
      <c r="C8" s="16" t="str">
        <f aca="false">'Shared Core Registry'!C8</f>
        <v>GHG_SCOPE1_METHODOLOGY</v>
      </c>
      <c r="D8" s="71" t="n">
        <f aca="false">'Shared Core Registry'!M8</f>
        <v>0</v>
      </c>
      <c r="E8" s="72" t="str">
        <f aca="false">'Shared Core Registry'!L8</f>
        <v>Pending</v>
      </c>
      <c r="F8" s="73" t="n">
        <f aca="false">'Shared Core Registry'!N8</f>
        <v>0</v>
      </c>
      <c r="G8" s="74" t="n">
        <f aca="false">'Shared Core Registry'!O8</f>
        <v>0</v>
      </c>
    </row>
    <row r="9" customFormat="false" ht="18" hidden="false" customHeight="true" outlineLevel="0" collapsed="false">
      <c r="A9" s="3" t="n">
        <f aca="false">'Shared Core Registry'!A9</f>
        <v>0</v>
      </c>
      <c r="B9" s="66" t="n">
        <f aca="false">'Shared Core Registry'!B9</f>
        <v>0</v>
      </c>
      <c r="C9" s="5" t="str">
        <f aca="false">'Shared Core Registry'!C9</f>
        <v>GHG_SCOPE1_BASE_YEAR</v>
      </c>
      <c r="D9" s="67" t="n">
        <f aca="false">'Shared Core Registry'!M9</f>
        <v>0</v>
      </c>
      <c r="E9" s="68" t="str">
        <f aca="false">'Shared Core Registry'!L9</f>
        <v>Pending</v>
      </c>
      <c r="F9" s="69" t="n">
        <f aca="false">'Shared Core Registry'!N9</f>
        <v>0</v>
      </c>
      <c r="G9" s="70" t="n">
        <f aca="false">'Shared Core Registry'!O9</f>
        <v>0</v>
      </c>
    </row>
    <row r="10" customFormat="false" ht="18" hidden="false" customHeight="true" outlineLevel="0" collapsed="false">
      <c r="A10" s="3" t="n">
        <f aca="false">'Shared Core Registry'!A10</f>
        <v>0</v>
      </c>
      <c r="B10" s="66" t="n">
        <f aca="false">'Shared Core Registry'!B10</f>
        <v>0</v>
      </c>
      <c r="C10" s="16" t="str">
        <f aca="false">'Shared Core Registry'!C10</f>
        <v>GHG_SCOPE1_INTENSITY_tCO2e_MEUR</v>
      </c>
      <c r="D10" s="71" t="n">
        <f aca="false">'Shared Core Registry'!M10</f>
        <v>0</v>
      </c>
      <c r="E10" s="72" t="str">
        <f aca="false">'Shared Core Registry'!L10</f>
        <v>Pending</v>
      </c>
      <c r="F10" s="73" t="n">
        <f aca="false">'Shared Core Registry'!N10</f>
        <v>0</v>
      </c>
      <c r="G10" s="74" t="n">
        <f aca="false">'Shared Core Registry'!O10</f>
        <v>0</v>
      </c>
    </row>
    <row r="11" customFormat="false" ht="18" hidden="false" customHeight="true" outlineLevel="0" collapsed="false">
      <c r="A11" s="3" t="n">
        <f aca="false">'Shared Core Registry'!A11</f>
        <v>0</v>
      </c>
      <c r="B11" s="66" t="str">
        <f aca="false">'Shared Core Registry'!B11</f>
        <v>GHG — Scope 2</v>
      </c>
      <c r="C11" s="5" t="str">
        <f aca="false">'Shared Core Registry'!C11</f>
        <v>GHG_SCOPE2_MARKET_tCO2e</v>
      </c>
      <c r="D11" s="67" t="n">
        <f aca="false">'Shared Core Registry'!M11</f>
        <v>0</v>
      </c>
      <c r="E11" s="68" t="str">
        <f aca="false">'Shared Core Registry'!L11</f>
        <v>Pending</v>
      </c>
      <c r="F11" s="69" t="n">
        <f aca="false">'Shared Core Registry'!N11</f>
        <v>0</v>
      </c>
      <c r="G11" s="70" t="n">
        <f aca="false">'Shared Core Registry'!O11</f>
        <v>0</v>
      </c>
    </row>
    <row r="12" customFormat="false" ht="18" hidden="false" customHeight="true" outlineLevel="0" collapsed="false">
      <c r="A12" s="3" t="n">
        <f aca="false">'Shared Core Registry'!A12</f>
        <v>0</v>
      </c>
      <c r="B12" s="66" t="n">
        <f aca="false">'Shared Core Registry'!B12</f>
        <v>0</v>
      </c>
      <c r="C12" s="16" t="str">
        <f aca="false">'Shared Core Registry'!C12</f>
        <v>GHG_SCOPE2_LOCATION_tCO2e</v>
      </c>
      <c r="D12" s="71" t="n">
        <f aca="false">'Shared Core Registry'!M12</f>
        <v>0</v>
      </c>
      <c r="E12" s="72" t="str">
        <f aca="false">'Shared Core Registry'!L12</f>
        <v>Pending</v>
      </c>
      <c r="F12" s="73" t="n">
        <f aca="false">'Shared Core Registry'!N12</f>
        <v>0</v>
      </c>
      <c r="G12" s="74" t="n">
        <f aca="false">'Shared Core Registry'!O12</f>
        <v>0</v>
      </c>
    </row>
    <row r="13" customFormat="false" ht="18" hidden="false" customHeight="true" outlineLevel="0" collapsed="false">
      <c r="A13" s="3" t="n">
        <f aca="false">'Shared Core Registry'!A13</f>
        <v>0</v>
      </c>
      <c r="B13" s="66" t="n">
        <f aca="false">'Shared Core Registry'!B13</f>
        <v>0</v>
      </c>
      <c r="C13" s="5" t="str">
        <f aca="false">'Shared Core Registry'!C13</f>
        <v>GHG_SCOPE2_RENEWABLE_PCT</v>
      </c>
      <c r="D13" s="67" t="n">
        <f aca="false">'Shared Core Registry'!M13</f>
        <v>0</v>
      </c>
      <c r="E13" s="68" t="str">
        <f aca="false">'Shared Core Registry'!L13</f>
        <v>Pending</v>
      </c>
      <c r="F13" s="69" t="n">
        <f aca="false">'Shared Core Registry'!N13</f>
        <v>0</v>
      </c>
      <c r="G13" s="70" t="n">
        <f aca="false">'Shared Core Registry'!O13</f>
        <v>0</v>
      </c>
    </row>
    <row r="14" customFormat="false" ht="18" hidden="false" customHeight="true" outlineLevel="0" collapsed="false">
      <c r="A14" s="3" t="n">
        <f aca="false">'Shared Core Registry'!A14</f>
        <v>0</v>
      </c>
      <c r="B14" s="66" t="n">
        <f aca="false">'Shared Core Registry'!B14</f>
        <v>0</v>
      </c>
      <c r="C14" s="16" t="str">
        <f aca="false">'Shared Core Registry'!C14</f>
        <v>GHG_SCOPE2_ELEC_CONSUMED_MWh</v>
      </c>
      <c r="D14" s="71" t="n">
        <f aca="false">'Shared Core Registry'!M14</f>
        <v>0</v>
      </c>
      <c r="E14" s="72" t="str">
        <f aca="false">'Shared Core Registry'!L14</f>
        <v>Pending</v>
      </c>
      <c r="F14" s="73" t="n">
        <f aca="false">'Shared Core Registry'!N14</f>
        <v>0</v>
      </c>
      <c r="G14" s="74" t="n">
        <f aca="false">'Shared Core Registry'!O14</f>
        <v>0</v>
      </c>
    </row>
    <row r="15" customFormat="false" ht="18" hidden="false" customHeight="true" outlineLevel="0" collapsed="false">
      <c r="A15" s="3" t="n">
        <f aca="false">'Shared Core Registry'!A15</f>
        <v>0</v>
      </c>
      <c r="B15" s="66" t="n">
        <f aca="false">'Shared Core Registry'!B15</f>
        <v>0</v>
      </c>
      <c r="C15" s="5" t="str">
        <f aca="false">'Shared Core Registry'!C15</f>
        <v>GHG_SCOPE2_HEAT_STEAM_MWh</v>
      </c>
      <c r="D15" s="67" t="n">
        <f aca="false">'Shared Core Registry'!M15</f>
        <v>0</v>
      </c>
      <c r="E15" s="68" t="str">
        <f aca="false">'Shared Core Registry'!L15</f>
        <v>Pending</v>
      </c>
      <c r="F15" s="69" t="n">
        <f aca="false">'Shared Core Registry'!N15</f>
        <v>0</v>
      </c>
      <c r="G15" s="70" t="n">
        <f aca="false">'Shared Core Registry'!O15</f>
        <v>0</v>
      </c>
    </row>
    <row r="16" customFormat="false" ht="18" hidden="false" customHeight="true" outlineLevel="0" collapsed="false">
      <c r="A16" s="3" t="n">
        <f aca="false">'Shared Core Registry'!A16</f>
        <v>0</v>
      </c>
      <c r="B16" s="66" t="n">
        <f aca="false">'Shared Core Registry'!B16</f>
        <v>0</v>
      </c>
      <c r="C16" s="16" t="str">
        <f aca="false">'Shared Core Registry'!C16</f>
        <v>GHG_SCOPE2_INTENSITY_tCO2e_MEUR</v>
      </c>
      <c r="D16" s="71" t="n">
        <f aca="false">'Shared Core Registry'!M16</f>
        <v>0</v>
      </c>
      <c r="E16" s="72" t="str">
        <f aca="false">'Shared Core Registry'!L16</f>
        <v>Pending</v>
      </c>
      <c r="F16" s="73" t="n">
        <f aca="false">'Shared Core Registry'!N16</f>
        <v>0</v>
      </c>
      <c r="G16" s="74" t="n">
        <f aca="false">'Shared Core Registry'!O16</f>
        <v>0</v>
      </c>
    </row>
    <row r="17" customFormat="false" ht="18" hidden="false" customHeight="true" outlineLevel="0" collapsed="false">
      <c r="A17" s="3" t="n">
        <f aca="false">'Shared Core Registry'!A17</f>
        <v>0</v>
      </c>
      <c r="B17" s="66" t="str">
        <f aca="false">'Shared Core Registry'!B17</f>
        <v>GHG — Scope 3</v>
      </c>
      <c r="C17" s="5" t="str">
        <f aca="false">'Shared Core Registry'!C17</f>
        <v>GHG_S3_CAT1_PURCHASED_tCO2e</v>
      </c>
      <c r="D17" s="67" t="n">
        <f aca="false">'Shared Core Registry'!M17</f>
        <v>0</v>
      </c>
      <c r="E17" s="68" t="str">
        <f aca="false">'Shared Core Registry'!L17</f>
        <v>Pending</v>
      </c>
      <c r="F17" s="69" t="n">
        <f aca="false">'Shared Core Registry'!N17</f>
        <v>0</v>
      </c>
      <c r="G17" s="70" t="n">
        <f aca="false">'Shared Core Registry'!O17</f>
        <v>0</v>
      </c>
    </row>
    <row r="18" customFormat="false" ht="18" hidden="false" customHeight="true" outlineLevel="0" collapsed="false">
      <c r="A18" s="3" t="n">
        <f aca="false">'Shared Core Registry'!A18</f>
        <v>0</v>
      </c>
      <c r="B18" s="66" t="n">
        <f aca="false">'Shared Core Registry'!B18</f>
        <v>0</v>
      </c>
      <c r="C18" s="16" t="str">
        <f aca="false">'Shared Core Registry'!C18</f>
        <v>GHG_S3_CAT2_CAPGOODS_tCO2e</v>
      </c>
      <c r="D18" s="71" t="n">
        <f aca="false">'Shared Core Registry'!M18</f>
        <v>0</v>
      </c>
      <c r="E18" s="72" t="str">
        <f aca="false">'Shared Core Registry'!L18</f>
        <v>Pending</v>
      </c>
      <c r="F18" s="73" t="n">
        <f aca="false">'Shared Core Registry'!N18</f>
        <v>0</v>
      </c>
      <c r="G18" s="74" t="n">
        <f aca="false">'Shared Core Registry'!O18</f>
        <v>0</v>
      </c>
    </row>
    <row r="19" customFormat="false" ht="18" hidden="false" customHeight="true" outlineLevel="0" collapsed="false">
      <c r="A19" s="3" t="n">
        <f aca="false">'Shared Core Registry'!A19</f>
        <v>0</v>
      </c>
      <c r="B19" s="66" t="n">
        <f aca="false">'Shared Core Registry'!B19</f>
        <v>0</v>
      </c>
      <c r="C19" s="5" t="str">
        <f aca="false">'Shared Core Registry'!C19</f>
        <v>GHG_S3_CAT3_ENERGY_tCO2e</v>
      </c>
      <c r="D19" s="67" t="n">
        <f aca="false">'Shared Core Registry'!M19</f>
        <v>0</v>
      </c>
      <c r="E19" s="68" t="str">
        <f aca="false">'Shared Core Registry'!L19</f>
        <v>Pending</v>
      </c>
      <c r="F19" s="69" t="n">
        <f aca="false">'Shared Core Registry'!N19</f>
        <v>0</v>
      </c>
      <c r="G19" s="70" t="n">
        <f aca="false">'Shared Core Registry'!O19</f>
        <v>0</v>
      </c>
    </row>
    <row r="20" customFormat="false" ht="18" hidden="false" customHeight="true" outlineLevel="0" collapsed="false">
      <c r="A20" s="3" t="n">
        <f aca="false">'Shared Core Registry'!A20</f>
        <v>0</v>
      </c>
      <c r="B20" s="66" t="n">
        <f aca="false">'Shared Core Registry'!B20</f>
        <v>0</v>
      </c>
      <c r="C20" s="16" t="str">
        <f aca="false">'Shared Core Registry'!C20</f>
        <v>GHG_S3_CAT4_TRANSPORT_UP_tCO2e</v>
      </c>
      <c r="D20" s="71" t="n">
        <f aca="false">'Shared Core Registry'!M20</f>
        <v>0</v>
      </c>
      <c r="E20" s="72" t="str">
        <f aca="false">'Shared Core Registry'!L20</f>
        <v>Pending</v>
      </c>
      <c r="F20" s="73" t="n">
        <f aca="false">'Shared Core Registry'!N20</f>
        <v>0</v>
      </c>
      <c r="G20" s="74" t="n">
        <f aca="false">'Shared Core Registry'!O20</f>
        <v>0</v>
      </c>
    </row>
    <row r="21" customFormat="false" ht="18" hidden="false" customHeight="true" outlineLevel="0" collapsed="false">
      <c r="A21" s="3" t="n">
        <f aca="false">'Shared Core Registry'!A21</f>
        <v>0</v>
      </c>
      <c r="B21" s="66" t="n">
        <f aca="false">'Shared Core Registry'!B21</f>
        <v>0</v>
      </c>
      <c r="C21" s="5" t="str">
        <f aca="false">'Shared Core Registry'!C21</f>
        <v>GHG_S3_CAT5_WASTE_tCO2e</v>
      </c>
      <c r="D21" s="67" t="n">
        <f aca="false">'Shared Core Registry'!M21</f>
        <v>0</v>
      </c>
      <c r="E21" s="68" t="str">
        <f aca="false">'Shared Core Registry'!L21</f>
        <v>Pending</v>
      </c>
      <c r="F21" s="69" t="n">
        <f aca="false">'Shared Core Registry'!N21</f>
        <v>0</v>
      </c>
      <c r="G21" s="70" t="n">
        <f aca="false">'Shared Core Registry'!O21</f>
        <v>0</v>
      </c>
    </row>
    <row r="22" customFormat="false" ht="18" hidden="false" customHeight="true" outlineLevel="0" collapsed="false">
      <c r="A22" s="3" t="n">
        <f aca="false">'Shared Core Registry'!A22</f>
        <v>0</v>
      </c>
      <c r="B22" s="66" t="n">
        <f aca="false">'Shared Core Registry'!B22</f>
        <v>0</v>
      </c>
      <c r="C22" s="16" t="str">
        <f aca="false">'Shared Core Registry'!C22</f>
        <v>GHG_S3_CAT6_BIZ_TRAVEL_tCO2e</v>
      </c>
      <c r="D22" s="71" t="n">
        <f aca="false">'Shared Core Registry'!M22</f>
        <v>0</v>
      </c>
      <c r="E22" s="72" t="str">
        <f aca="false">'Shared Core Registry'!L22</f>
        <v>Pending</v>
      </c>
      <c r="F22" s="73" t="n">
        <f aca="false">'Shared Core Registry'!N22</f>
        <v>0</v>
      </c>
      <c r="G22" s="74" t="n">
        <f aca="false">'Shared Core Registry'!O22</f>
        <v>0</v>
      </c>
    </row>
    <row r="23" customFormat="false" ht="18" hidden="false" customHeight="true" outlineLevel="0" collapsed="false">
      <c r="A23" s="3" t="n">
        <f aca="false">'Shared Core Registry'!A23</f>
        <v>0</v>
      </c>
      <c r="B23" s="66" t="n">
        <f aca="false">'Shared Core Registry'!B23</f>
        <v>0</v>
      </c>
      <c r="C23" s="5" t="str">
        <f aca="false">'Shared Core Registry'!C23</f>
        <v>GHG_S3_CAT7_COMMUTE_tCO2e</v>
      </c>
      <c r="D23" s="67" t="n">
        <f aca="false">'Shared Core Registry'!M23</f>
        <v>0</v>
      </c>
      <c r="E23" s="68" t="str">
        <f aca="false">'Shared Core Registry'!L23</f>
        <v>Pending</v>
      </c>
      <c r="F23" s="69" t="n">
        <f aca="false">'Shared Core Registry'!N23</f>
        <v>0</v>
      </c>
      <c r="G23" s="70" t="n">
        <f aca="false">'Shared Core Registry'!O23</f>
        <v>0</v>
      </c>
    </row>
    <row r="24" customFormat="false" ht="18" hidden="false" customHeight="true" outlineLevel="0" collapsed="false">
      <c r="A24" s="3" t="n">
        <f aca="false">'Shared Core Registry'!A24</f>
        <v>0</v>
      </c>
      <c r="B24" s="66" t="n">
        <f aca="false">'Shared Core Registry'!B24</f>
        <v>0</v>
      </c>
      <c r="C24" s="16" t="str">
        <f aca="false">'Shared Core Registry'!C24</f>
        <v>GHG_S3_CAT9_TRANSPORT_DOWN_tCO2e</v>
      </c>
      <c r="D24" s="71" t="n">
        <f aca="false">'Shared Core Registry'!M24</f>
        <v>0</v>
      </c>
      <c r="E24" s="72" t="str">
        <f aca="false">'Shared Core Registry'!L24</f>
        <v>Pending</v>
      </c>
      <c r="F24" s="73" t="n">
        <f aca="false">'Shared Core Registry'!N24</f>
        <v>0</v>
      </c>
      <c r="G24" s="74" t="n">
        <f aca="false">'Shared Core Registry'!O24</f>
        <v>0</v>
      </c>
    </row>
    <row r="25" customFormat="false" ht="18" hidden="false" customHeight="true" outlineLevel="0" collapsed="false">
      <c r="A25" s="3" t="n">
        <f aca="false">'Shared Core Registry'!A25</f>
        <v>0</v>
      </c>
      <c r="B25" s="66" t="n">
        <f aca="false">'Shared Core Registry'!B25</f>
        <v>0</v>
      </c>
      <c r="C25" s="5" t="str">
        <f aca="false">'Shared Core Registry'!C25</f>
        <v>GHG_S3_CAT11_USE_tCO2e</v>
      </c>
      <c r="D25" s="67" t="n">
        <f aca="false">'Shared Core Registry'!M25</f>
        <v>0</v>
      </c>
      <c r="E25" s="68" t="str">
        <f aca="false">'Shared Core Registry'!L25</f>
        <v>Pending</v>
      </c>
      <c r="F25" s="69" t="n">
        <f aca="false">'Shared Core Registry'!N25</f>
        <v>0</v>
      </c>
      <c r="G25" s="70" t="n">
        <f aca="false">'Shared Core Registry'!O25</f>
        <v>0</v>
      </c>
    </row>
    <row r="26" customFormat="false" ht="18" hidden="false" customHeight="true" outlineLevel="0" collapsed="false">
      <c r="A26" s="3" t="n">
        <f aca="false">'Shared Core Registry'!A26</f>
        <v>0</v>
      </c>
      <c r="B26" s="66" t="n">
        <f aca="false">'Shared Core Registry'!B26</f>
        <v>0</v>
      </c>
      <c r="C26" s="16" t="str">
        <f aca="false">'Shared Core Registry'!C26</f>
        <v>GHG_S3_CAT12_EOL_tCO2e</v>
      </c>
      <c r="D26" s="71" t="n">
        <f aca="false">'Shared Core Registry'!M26</f>
        <v>0</v>
      </c>
      <c r="E26" s="72" t="str">
        <f aca="false">'Shared Core Registry'!L26</f>
        <v>Pending</v>
      </c>
      <c r="F26" s="73" t="n">
        <f aca="false">'Shared Core Registry'!N26</f>
        <v>0</v>
      </c>
      <c r="G26" s="74" t="n">
        <f aca="false">'Shared Core Registry'!O26</f>
        <v>0</v>
      </c>
    </row>
    <row r="27" customFormat="false" ht="18" hidden="false" customHeight="true" outlineLevel="0" collapsed="false">
      <c r="A27" s="3" t="n">
        <f aca="false">'Shared Core Registry'!A27</f>
        <v>0</v>
      </c>
      <c r="B27" s="66" t="n">
        <f aca="false">'Shared Core Registry'!B27</f>
        <v>0</v>
      </c>
      <c r="C27" s="5" t="str">
        <f aca="false">'Shared Core Registry'!C27</f>
        <v>GHG_S3_CAT15_INVESTMENTS_tCO2e</v>
      </c>
      <c r="D27" s="67" t="n">
        <f aca="false">'Shared Core Registry'!M27</f>
        <v>0</v>
      </c>
      <c r="E27" s="68" t="str">
        <f aca="false">'Shared Core Registry'!L27</f>
        <v>Pending</v>
      </c>
      <c r="F27" s="69" t="n">
        <f aca="false">'Shared Core Registry'!N27</f>
        <v>0</v>
      </c>
      <c r="G27" s="70" t="n">
        <f aca="false">'Shared Core Registry'!O27</f>
        <v>0</v>
      </c>
    </row>
    <row r="28" customFormat="false" ht="18" hidden="false" customHeight="true" outlineLevel="0" collapsed="false">
      <c r="A28" s="3" t="n">
        <f aca="false">'Shared Core Registry'!A28</f>
        <v>0</v>
      </c>
      <c r="B28" s="66" t="n">
        <f aca="false">'Shared Core Registry'!B28</f>
        <v>0</v>
      </c>
      <c r="C28" s="16" t="str">
        <f aca="false">'Shared Core Registry'!C28</f>
        <v>GHG_S3_TOTAL_tCO2e</v>
      </c>
      <c r="D28" s="71" t="n">
        <f aca="false">'Shared Core Registry'!M28</f>
        <v>0</v>
      </c>
      <c r="E28" s="72" t="str">
        <f aca="false">'Shared Core Registry'!L28</f>
        <v>Pending</v>
      </c>
      <c r="F28" s="73" t="n">
        <f aca="false">'Shared Core Registry'!N28</f>
        <v>0</v>
      </c>
      <c r="G28" s="74" t="n">
        <f aca="false">'Shared Core Registry'!O28</f>
        <v>0</v>
      </c>
    </row>
    <row r="29" customFormat="false" ht="18" hidden="false" customHeight="true" outlineLevel="0" collapsed="false">
      <c r="A29" s="3" t="n">
        <f aca="false">'Shared Core Registry'!A29</f>
        <v>0</v>
      </c>
      <c r="B29" s="66" t="n">
        <f aca="false">'Shared Core Registry'!B29</f>
        <v>0</v>
      </c>
      <c r="C29" s="5" t="str">
        <f aca="false">'Shared Core Registry'!C29</f>
        <v>GHG_S3_CATEGORIES_EXCLUDED</v>
      </c>
      <c r="D29" s="67" t="n">
        <f aca="false">'Shared Core Registry'!M29</f>
        <v>0</v>
      </c>
      <c r="E29" s="68" t="str">
        <f aca="false">'Shared Core Registry'!L29</f>
        <v>Pending</v>
      </c>
      <c r="F29" s="69" t="n">
        <f aca="false">'Shared Core Registry'!N29</f>
        <v>0</v>
      </c>
      <c r="G29" s="70" t="n">
        <f aca="false">'Shared Core Registry'!O29</f>
        <v>0</v>
      </c>
    </row>
    <row r="30" customFormat="false" ht="18" hidden="false" customHeight="true" outlineLevel="0" collapsed="false">
      <c r="A30" s="3" t="n">
        <f aca="false">'Shared Core Registry'!A30</f>
        <v>0</v>
      </c>
      <c r="B30" s="66" t="n">
        <f aca="false">'Shared Core Registry'!B30</f>
        <v>0</v>
      </c>
      <c r="C30" s="16" t="str">
        <f aca="false">'Shared Core Registry'!C30</f>
        <v>GHG_S3_DATA_QUALITY_NOTE</v>
      </c>
      <c r="D30" s="71" t="n">
        <f aca="false">'Shared Core Registry'!M30</f>
        <v>0</v>
      </c>
      <c r="E30" s="72" t="str">
        <f aca="false">'Shared Core Registry'!L30</f>
        <v>Pending</v>
      </c>
      <c r="F30" s="73" t="n">
        <f aca="false">'Shared Core Registry'!N30</f>
        <v>0</v>
      </c>
      <c r="G30" s="74" t="n">
        <f aca="false">'Shared Core Registry'!O30</f>
        <v>0</v>
      </c>
    </row>
    <row r="31" customFormat="false" ht="18" hidden="false" customHeight="true" outlineLevel="0" collapsed="false">
      <c r="A31" s="3" t="n">
        <f aca="false">'Shared Core Registry'!A31</f>
        <v>0</v>
      </c>
      <c r="B31" s="66" t="str">
        <f aca="false">'Shared Core Registry'!B31</f>
        <v>Energy</v>
      </c>
      <c r="C31" s="5" t="str">
        <f aca="false">'Shared Core Registry'!C31</f>
        <v>ENERGY_TOTAL_MWh</v>
      </c>
      <c r="D31" s="67" t="n">
        <f aca="false">'Shared Core Registry'!M31</f>
        <v>0</v>
      </c>
      <c r="E31" s="68" t="str">
        <f aca="false">'Shared Core Registry'!L31</f>
        <v>Pending</v>
      </c>
      <c r="F31" s="69" t="n">
        <f aca="false">'Shared Core Registry'!N31</f>
        <v>0</v>
      </c>
      <c r="G31" s="70" t="n">
        <f aca="false">'Shared Core Registry'!O31</f>
        <v>0</v>
      </c>
    </row>
    <row r="32" customFormat="false" ht="18" hidden="false" customHeight="true" outlineLevel="0" collapsed="false">
      <c r="A32" s="3" t="n">
        <f aca="false">'Shared Core Registry'!A32</f>
        <v>0</v>
      </c>
      <c r="B32" s="66" t="n">
        <f aca="false">'Shared Core Registry'!B32</f>
        <v>0</v>
      </c>
      <c r="C32" s="16" t="str">
        <f aca="false">'Shared Core Registry'!C32</f>
        <v>ENERGY_FOSSIL_MWh</v>
      </c>
      <c r="D32" s="71" t="n">
        <f aca="false">'Shared Core Registry'!M32</f>
        <v>0</v>
      </c>
      <c r="E32" s="72" t="str">
        <f aca="false">'Shared Core Registry'!L32</f>
        <v>Pending</v>
      </c>
      <c r="F32" s="73" t="n">
        <f aca="false">'Shared Core Registry'!N32</f>
        <v>0</v>
      </c>
      <c r="G32" s="74" t="n">
        <f aca="false">'Shared Core Registry'!O32</f>
        <v>0</v>
      </c>
    </row>
    <row r="33" customFormat="false" ht="18" hidden="false" customHeight="true" outlineLevel="0" collapsed="false">
      <c r="A33" s="3" t="n">
        <f aca="false">'Shared Core Registry'!A33</f>
        <v>0</v>
      </c>
      <c r="B33" s="66" t="n">
        <f aca="false">'Shared Core Registry'!B33</f>
        <v>0</v>
      </c>
      <c r="C33" s="5" t="str">
        <f aca="false">'Shared Core Registry'!C33</f>
        <v>ENERGY_RENEWABLE_MWh</v>
      </c>
      <c r="D33" s="67" t="n">
        <f aca="false">'Shared Core Registry'!M33</f>
        <v>0</v>
      </c>
      <c r="E33" s="68" t="str">
        <f aca="false">'Shared Core Registry'!L33</f>
        <v>Pending</v>
      </c>
      <c r="F33" s="69" t="n">
        <f aca="false">'Shared Core Registry'!N33</f>
        <v>0</v>
      </c>
      <c r="G33" s="70" t="n">
        <f aca="false">'Shared Core Registry'!O33</f>
        <v>0</v>
      </c>
    </row>
    <row r="34" customFormat="false" ht="18" hidden="false" customHeight="true" outlineLevel="0" collapsed="false">
      <c r="A34" s="3" t="n">
        <f aca="false">'Shared Core Registry'!A34</f>
        <v>0</v>
      </c>
      <c r="B34" s="66" t="n">
        <f aca="false">'Shared Core Registry'!B34</f>
        <v>0</v>
      </c>
      <c r="C34" s="16" t="str">
        <f aca="false">'Shared Core Registry'!C34</f>
        <v>ENERGY_INTENSITY_MWh_MEUR</v>
      </c>
      <c r="D34" s="71" t="n">
        <f aca="false">'Shared Core Registry'!M34</f>
        <v>0</v>
      </c>
      <c r="E34" s="72" t="str">
        <f aca="false">'Shared Core Registry'!L34</f>
        <v>Pending</v>
      </c>
      <c r="F34" s="73" t="n">
        <f aca="false">'Shared Core Registry'!N34</f>
        <v>0</v>
      </c>
      <c r="G34" s="74" t="n">
        <f aca="false">'Shared Core Registry'!O34</f>
        <v>0</v>
      </c>
    </row>
    <row r="35" customFormat="false" ht="18" hidden="false" customHeight="true" outlineLevel="0" collapsed="false">
      <c r="A35" s="3" t="n">
        <f aca="false">'Shared Core Registry'!A35</f>
        <v>0</v>
      </c>
      <c r="B35" s="66" t="n">
        <f aca="false">'Shared Core Registry'!B35</f>
        <v>0</v>
      </c>
      <c r="C35" s="5" t="str">
        <f aca="false">'Shared Core Registry'!C35</f>
        <v>ENERGY_REDUCTION_MWh</v>
      </c>
      <c r="D35" s="67" t="n">
        <f aca="false">'Shared Core Registry'!M35</f>
        <v>0</v>
      </c>
      <c r="E35" s="68" t="str">
        <f aca="false">'Shared Core Registry'!L35</f>
        <v>Pending</v>
      </c>
      <c r="F35" s="69" t="n">
        <f aca="false">'Shared Core Registry'!N35</f>
        <v>0</v>
      </c>
      <c r="G35" s="70" t="n">
        <f aca="false">'Shared Core Registry'!O35</f>
        <v>0</v>
      </c>
    </row>
    <row r="36" customFormat="false" ht="18" hidden="false" customHeight="true" outlineLevel="0" collapsed="false">
      <c r="A36" s="3" t="n">
        <f aca="false">'Shared Core Registry'!A36</f>
        <v>0</v>
      </c>
      <c r="B36" s="66" t="n">
        <f aca="false">'Shared Core Registry'!B36</f>
        <v>0</v>
      </c>
      <c r="C36" s="16" t="str">
        <f aca="false">'Shared Core Registry'!C36</f>
        <v>ENERGY_TARGET_PCT_RENEWABLE</v>
      </c>
      <c r="D36" s="71" t="n">
        <f aca="false">'Shared Core Registry'!M36</f>
        <v>0</v>
      </c>
      <c r="E36" s="72" t="str">
        <f aca="false">'Shared Core Registry'!L36</f>
        <v>Pending</v>
      </c>
      <c r="F36" s="73" t="n">
        <f aca="false">'Shared Core Registry'!N36</f>
        <v>0</v>
      </c>
      <c r="G36" s="74" t="n">
        <f aca="false">'Shared Core Registry'!O36</f>
        <v>0</v>
      </c>
    </row>
    <row r="37" customFormat="false" ht="18" hidden="false" customHeight="true" outlineLevel="0" collapsed="false">
      <c r="A37" s="3" t="n">
        <f aca="false">'Shared Core Registry'!A37</f>
        <v>0</v>
      </c>
      <c r="B37" s="66" t="n">
        <f aca="false">'Shared Core Registry'!B37</f>
        <v>0</v>
      </c>
      <c r="C37" s="5" t="str">
        <f aca="false">'Shared Core Registry'!C37</f>
        <v>ENERGY_TARGET_REDUCTION_PCT</v>
      </c>
      <c r="D37" s="67" t="n">
        <f aca="false">'Shared Core Registry'!M37</f>
        <v>0</v>
      </c>
      <c r="E37" s="68" t="str">
        <f aca="false">'Shared Core Registry'!L37</f>
        <v>Pending</v>
      </c>
      <c r="F37" s="69" t="n">
        <f aca="false">'Shared Core Registry'!N37</f>
        <v>0</v>
      </c>
      <c r="G37" s="70" t="n">
        <f aca="false">'Shared Core Registry'!O37</f>
        <v>0</v>
      </c>
    </row>
    <row r="38" customFormat="false" ht="18" hidden="false" customHeight="true" outlineLevel="0" collapsed="false">
      <c r="A38" s="3" t="n">
        <f aca="false">'Shared Core Registry'!A38</f>
        <v>0</v>
      </c>
      <c r="B38" s="66" t="n">
        <f aca="false">'Shared Core Registry'!B38</f>
        <v>0</v>
      </c>
      <c r="C38" s="16" t="str">
        <f aca="false">'Shared Core Registry'!C38</f>
        <v>ENERGY_INTERNAL_CARBON_PRICE</v>
      </c>
      <c r="D38" s="71" t="n">
        <f aca="false">'Shared Core Registry'!M38</f>
        <v>0</v>
      </c>
      <c r="E38" s="72" t="str">
        <f aca="false">'Shared Core Registry'!L38</f>
        <v>Pending</v>
      </c>
      <c r="F38" s="73" t="n">
        <f aca="false">'Shared Core Registry'!N38</f>
        <v>0</v>
      </c>
      <c r="G38" s="74" t="n">
        <f aca="false">'Shared Core Registry'!O38</f>
        <v>0</v>
      </c>
    </row>
    <row r="39" customFormat="false" ht="18" hidden="false" customHeight="true" outlineLevel="0" collapsed="false">
      <c r="A39" s="3" t="n">
        <f aca="false">'Shared Core Registry'!A39</f>
        <v>0</v>
      </c>
      <c r="B39" s="66" t="str">
        <f aca="false">'Shared Core Registry'!B39</f>
        <v>Water</v>
      </c>
      <c r="C39" s="5" t="str">
        <f aca="false">'Shared Core Registry'!C39</f>
        <v>WATER_WITHDRAWAL_TOTAL_m3</v>
      </c>
      <c r="D39" s="67" t="n">
        <f aca="false">'Shared Core Registry'!M39</f>
        <v>0</v>
      </c>
      <c r="E39" s="68" t="str">
        <f aca="false">'Shared Core Registry'!L39</f>
        <v>Pending</v>
      </c>
      <c r="F39" s="69" t="n">
        <f aca="false">'Shared Core Registry'!N39</f>
        <v>0</v>
      </c>
      <c r="G39" s="70" t="n">
        <f aca="false">'Shared Core Registry'!O39</f>
        <v>0</v>
      </c>
    </row>
    <row r="40" customFormat="false" ht="18" hidden="false" customHeight="true" outlineLevel="0" collapsed="false">
      <c r="A40" s="3" t="n">
        <f aca="false">'Shared Core Registry'!A40</f>
        <v>0</v>
      </c>
      <c r="B40" s="66" t="n">
        <f aca="false">'Shared Core Registry'!B40</f>
        <v>0</v>
      </c>
      <c r="C40" s="16" t="str">
        <f aca="false">'Shared Core Registry'!C40</f>
        <v>WATER_STRESS_WITHDRAWAL_m3</v>
      </c>
      <c r="D40" s="71" t="n">
        <f aca="false">'Shared Core Registry'!M40</f>
        <v>0</v>
      </c>
      <c r="E40" s="72" t="str">
        <f aca="false">'Shared Core Registry'!L40</f>
        <v>Pending</v>
      </c>
      <c r="F40" s="73" t="n">
        <f aca="false">'Shared Core Registry'!N40</f>
        <v>0</v>
      </c>
      <c r="G40" s="74" t="n">
        <f aca="false">'Shared Core Registry'!O40</f>
        <v>0</v>
      </c>
    </row>
    <row r="41" customFormat="false" ht="18" hidden="false" customHeight="true" outlineLevel="0" collapsed="false">
      <c r="A41" s="3" t="n">
        <f aca="false">'Shared Core Registry'!A41</f>
        <v>0</v>
      </c>
      <c r="B41" s="66" t="n">
        <f aca="false">'Shared Core Registry'!B41</f>
        <v>0</v>
      </c>
      <c r="C41" s="5" t="str">
        <f aca="false">'Shared Core Registry'!C41</f>
        <v>WATER_CONSUMPTION_TOTAL_m3</v>
      </c>
      <c r="D41" s="67" t="n">
        <f aca="false">'Shared Core Registry'!M41</f>
        <v>0</v>
      </c>
      <c r="E41" s="68" t="str">
        <f aca="false">'Shared Core Registry'!L41</f>
        <v>Pending</v>
      </c>
      <c r="F41" s="69" t="n">
        <f aca="false">'Shared Core Registry'!N41</f>
        <v>0</v>
      </c>
      <c r="G41" s="70" t="n">
        <f aca="false">'Shared Core Registry'!O41</f>
        <v>0</v>
      </c>
    </row>
    <row r="42" customFormat="false" ht="18" hidden="false" customHeight="true" outlineLevel="0" collapsed="false">
      <c r="A42" s="3" t="n">
        <f aca="false">'Shared Core Registry'!A42</f>
        <v>0</v>
      </c>
      <c r="B42" s="66" t="n">
        <f aca="false">'Shared Core Registry'!B42</f>
        <v>0</v>
      </c>
      <c r="C42" s="16" t="str">
        <f aca="false">'Shared Core Registry'!C42</f>
        <v>WATER_DISCHARGE_TOTAL_m3</v>
      </c>
      <c r="D42" s="71" t="n">
        <f aca="false">'Shared Core Registry'!M42</f>
        <v>0</v>
      </c>
      <c r="E42" s="72" t="str">
        <f aca="false">'Shared Core Registry'!L42</f>
        <v>Pending</v>
      </c>
      <c r="F42" s="73" t="n">
        <f aca="false">'Shared Core Registry'!N42</f>
        <v>0</v>
      </c>
      <c r="G42" s="74" t="n">
        <f aca="false">'Shared Core Registry'!O42</f>
        <v>0</v>
      </c>
    </row>
    <row r="43" customFormat="false" ht="18" hidden="false" customHeight="true" outlineLevel="0" collapsed="false">
      <c r="A43" s="3" t="n">
        <f aca="false">'Shared Core Registry'!A43</f>
        <v>0</v>
      </c>
      <c r="B43" s="66" t="n">
        <f aca="false">'Shared Core Registry'!B43</f>
        <v>0</v>
      </c>
      <c r="C43" s="5" t="str">
        <f aca="false">'Shared Core Registry'!C43</f>
        <v>WATER_RECYCLED_PCT</v>
      </c>
      <c r="D43" s="67" t="n">
        <f aca="false">'Shared Core Registry'!M43</f>
        <v>0</v>
      </c>
      <c r="E43" s="68" t="str">
        <f aca="false">'Shared Core Registry'!L43</f>
        <v>Pending</v>
      </c>
      <c r="F43" s="69" t="n">
        <f aca="false">'Shared Core Registry'!N43</f>
        <v>0</v>
      </c>
      <c r="G43" s="70" t="n">
        <f aca="false">'Shared Core Registry'!O43</f>
        <v>0</v>
      </c>
    </row>
    <row r="44" customFormat="false" ht="18" hidden="false" customHeight="true" outlineLevel="0" collapsed="false">
      <c r="A44" s="3" t="n">
        <f aca="false">'Shared Core Registry'!A44</f>
        <v>0</v>
      </c>
      <c r="B44" s="66" t="n">
        <f aca="false">'Shared Core Registry'!B44</f>
        <v>0</v>
      </c>
      <c r="C44" s="16" t="str">
        <f aca="false">'Shared Core Registry'!C44</f>
        <v>WATER_TARGET_REDUCTION_PCT</v>
      </c>
      <c r="D44" s="71" t="n">
        <f aca="false">'Shared Core Registry'!M44</f>
        <v>0</v>
      </c>
      <c r="E44" s="72" t="str">
        <f aca="false">'Shared Core Registry'!L44</f>
        <v>Pending</v>
      </c>
      <c r="F44" s="73" t="n">
        <f aca="false">'Shared Core Registry'!N44</f>
        <v>0</v>
      </c>
      <c r="G44" s="74" t="n">
        <f aca="false">'Shared Core Registry'!O44</f>
        <v>0</v>
      </c>
    </row>
    <row r="45" customFormat="false" ht="18" hidden="false" customHeight="true" outlineLevel="0" collapsed="false">
      <c r="A45" s="3" t="n">
        <f aca="false">'Shared Core Registry'!A45</f>
        <v>0</v>
      </c>
      <c r="B45" s="66" t="str">
        <f aca="false">'Shared Core Registry'!B45</f>
        <v>Waste</v>
      </c>
      <c r="C45" s="5" t="str">
        <f aca="false">'Shared Core Registry'!C45</f>
        <v>WASTE_TOTAL_GENERATED_t</v>
      </c>
      <c r="D45" s="67" t="n">
        <f aca="false">'Shared Core Registry'!M45</f>
        <v>0</v>
      </c>
      <c r="E45" s="68" t="str">
        <f aca="false">'Shared Core Registry'!L45</f>
        <v>Pending</v>
      </c>
      <c r="F45" s="69" t="n">
        <f aca="false">'Shared Core Registry'!N45</f>
        <v>0</v>
      </c>
      <c r="G45" s="70" t="n">
        <f aca="false">'Shared Core Registry'!O45</f>
        <v>0</v>
      </c>
    </row>
    <row r="46" customFormat="false" ht="18" hidden="false" customHeight="true" outlineLevel="0" collapsed="false">
      <c r="A46" s="3" t="n">
        <f aca="false">'Shared Core Registry'!A46</f>
        <v>0</v>
      </c>
      <c r="B46" s="66" t="n">
        <f aca="false">'Shared Core Registry'!B46</f>
        <v>0</v>
      </c>
      <c r="C46" s="16" t="str">
        <f aca="false">'Shared Core Registry'!C46</f>
        <v>WASTE_HAZARDOUS_t</v>
      </c>
      <c r="D46" s="71" t="n">
        <f aca="false">'Shared Core Registry'!M46</f>
        <v>0</v>
      </c>
      <c r="E46" s="72" t="str">
        <f aca="false">'Shared Core Registry'!L46</f>
        <v>Pending</v>
      </c>
      <c r="F46" s="73" t="n">
        <f aca="false">'Shared Core Registry'!N46</f>
        <v>0</v>
      </c>
      <c r="G46" s="74" t="n">
        <f aca="false">'Shared Core Registry'!O46</f>
        <v>0</v>
      </c>
    </row>
    <row r="47" customFormat="false" ht="18" hidden="false" customHeight="true" outlineLevel="0" collapsed="false">
      <c r="A47" s="3" t="n">
        <f aca="false">'Shared Core Registry'!A47</f>
        <v>0</v>
      </c>
      <c r="B47" s="66" t="n">
        <f aca="false">'Shared Core Registry'!B47</f>
        <v>0</v>
      </c>
      <c r="C47" s="5" t="str">
        <f aca="false">'Shared Core Registry'!C47</f>
        <v>WASTE_DIVERTED_RECYCLED_t</v>
      </c>
      <c r="D47" s="67" t="n">
        <f aca="false">'Shared Core Registry'!M47</f>
        <v>0</v>
      </c>
      <c r="E47" s="68" t="str">
        <f aca="false">'Shared Core Registry'!L47</f>
        <v>Pending</v>
      </c>
      <c r="F47" s="69" t="n">
        <f aca="false">'Shared Core Registry'!N47</f>
        <v>0</v>
      </c>
      <c r="G47" s="70" t="n">
        <f aca="false">'Shared Core Registry'!O47</f>
        <v>0</v>
      </c>
    </row>
    <row r="48" customFormat="false" ht="18" hidden="false" customHeight="true" outlineLevel="0" collapsed="false">
      <c r="A48" s="3" t="n">
        <f aca="false">'Shared Core Registry'!A48</f>
        <v>0</v>
      </c>
      <c r="B48" s="66" t="n">
        <f aca="false">'Shared Core Registry'!B48</f>
        <v>0</v>
      </c>
      <c r="C48" s="16" t="str">
        <f aca="false">'Shared Core Registry'!C48</f>
        <v>WASTE_DIRECTED_LANDFILL_t</v>
      </c>
      <c r="D48" s="71" t="n">
        <f aca="false">'Shared Core Registry'!M48</f>
        <v>0</v>
      </c>
      <c r="E48" s="72" t="str">
        <f aca="false">'Shared Core Registry'!L48</f>
        <v>Pending</v>
      </c>
      <c r="F48" s="73" t="n">
        <f aca="false">'Shared Core Registry'!N48</f>
        <v>0</v>
      </c>
      <c r="G48" s="74" t="n">
        <f aca="false">'Shared Core Registry'!O48</f>
        <v>0</v>
      </c>
    </row>
    <row r="49" customFormat="false" ht="18" hidden="false" customHeight="true" outlineLevel="0" collapsed="false">
      <c r="A49" s="3" t="n">
        <f aca="false">'Shared Core Registry'!A49</f>
        <v>0</v>
      </c>
      <c r="B49" s="66" t="n">
        <f aca="false">'Shared Core Registry'!B49</f>
        <v>0</v>
      </c>
      <c r="C49" s="5" t="str">
        <f aca="false">'Shared Core Registry'!C49</f>
        <v>WASTE_DIVERSION_RATE_PCT</v>
      </c>
      <c r="D49" s="67" t="n">
        <f aca="false">'Shared Core Registry'!M49</f>
        <v>0</v>
      </c>
      <c r="E49" s="68" t="str">
        <f aca="false">'Shared Core Registry'!L49</f>
        <v>Pending</v>
      </c>
      <c r="F49" s="69" t="n">
        <f aca="false">'Shared Core Registry'!N49</f>
        <v>0</v>
      </c>
      <c r="G49" s="70" t="n">
        <f aca="false">'Shared Core Registry'!O49</f>
        <v>0</v>
      </c>
    </row>
    <row r="50" customFormat="false" ht="18" hidden="false" customHeight="true" outlineLevel="0" collapsed="false">
      <c r="A50" s="3" t="n">
        <f aca="false">'Shared Core Registry'!A50</f>
        <v>0</v>
      </c>
      <c r="B50" s="66" t="n">
        <f aca="false">'Shared Core Registry'!B50</f>
        <v>0</v>
      </c>
      <c r="C50" s="16" t="str">
        <f aca="false">'Shared Core Registry'!C50</f>
        <v>WASTE_TARGET_REDUCTION_PCT</v>
      </c>
      <c r="D50" s="71" t="n">
        <f aca="false">'Shared Core Registry'!M50</f>
        <v>0</v>
      </c>
      <c r="E50" s="72" t="str">
        <f aca="false">'Shared Core Registry'!L50</f>
        <v>Pending</v>
      </c>
      <c r="F50" s="73" t="n">
        <f aca="false">'Shared Core Registry'!N50</f>
        <v>0</v>
      </c>
      <c r="G50" s="74" t="n">
        <f aca="false">'Shared Core Registry'!O50</f>
        <v>0</v>
      </c>
    </row>
    <row r="51" customFormat="false" ht="18" hidden="false" customHeight="true" outlineLevel="0" collapsed="false">
      <c r="A51" s="3" t="n">
        <f aca="false">'Shared Core Registry'!A51</f>
        <v>0</v>
      </c>
      <c r="B51" s="66" t="str">
        <f aca="false">'Shared Core Registry'!B51</f>
        <v>Climate Risk &amp; Targets</v>
      </c>
      <c r="C51" s="5" t="str">
        <f aca="false">'Shared Core Registry'!C51</f>
        <v>CLIMATE_NET_ZERO_TARGET_YEAR</v>
      </c>
      <c r="D51" s="67" t="n">
        <f aca="false">'Shared Core Registry'!M51</f>
        <v>0</v>
      </c>
      <c r="E51" s="68" t="str">
        <f aca="false">'Shared Core Registry'!L51</f>
        <v>Pending</v>
      </c>
      <c r="F51" s="69" t="n">
        <f aca="false">'Shared Core Registry'!N51</f>
        <v>0</v>
      </c>
      <c r="G51" s="70" t="n">
        <f aca="false">'Shared Core Registry'!O51</f>
        <v>0</v>
      </c>
    </row>
    <row r="52" customFormat="false" ht="18" hidden="false" customHeight="true" outlineLevel="0" collapsed="false">
      <c r="A52" s="3" t="n">
        <f aca="false">'Shared Core Registry'!A52</f>
        <v>0</v>
      </c>
      <c r="B52" s="66" t="n">
        <f aca="false">'Shared Core Registry'!B52</f>
        <v>0</v>
      </c>
      <c r="C52" s="16" t="str">
        <f aca="false">'Shared Core Registry'!C52</f>
        <v>CLIMATE_SBTI_COMMITTED</v>
      </c>
      <c r="D52" s="71" t="n">
        <f aca="false">'Shared Core Registry'!M52</f>
        <v>0</v>
      </c>
      <c r="E52" s="72" t="str">
        <f aca="false">'Shared Core Registry'!L52</f>
        <v>Pending</v>
      </c>
      <c r="F52" s="73" t="n">
        <f aca="false">'Shared Core Registry'!N52</f>
        <v>0</v>
      </c>
      <c r="G52" s="74" t="n">
        <f aca="false">'Shared Core Registry'!O52</f>
        <v>0</v>
      </c>
    </row>
    <row r="53" customFormat="false" ht="18" hidden="false" customHeight="true" outlineLevel="0" collapsed="false">
      <c r="A53" s="3" t="n">
        <f aca="false">'Shared Core Registry'!A53</f>
        <v>0</v>
      </c>
      <c r="B53" s="66" t="n">
        <f aca="false">'Shared Core Registry'!B53</f>
        <v>0</v>
      </c>
      <c r="C53" s="5" t="str">
        <f aca="false">'Shared Core Registry'!C53</f>
        <v>CLIMATE_GHG_REDUCTION_TARGET_PCT</v>
      </c>
      <c r="D53" s="67" t="n">
        <f aca="false">'Shared Core Registry'!M53</f>
        <v>0</v>
      </c>
      <c r="E53" s="68" t="str">
        <f aca="false">'Shared Core Registry'!L53</f>
        <v>Pending</v>
      </c>
      <c r="F53" s="69" t="n">
        <f aca="false">'Shared Core Registry'!N53</f>
        <v>0</v>
      </c>
      <c r="G53" s="70" t="n">
        <f aca="false">'Shared Core Registry'!O53</f>
        <v>0</v>
      </c>
    </row>
    <row r="54" customFormat="false" ht="18" hidden="false" customHeight="true" outlineLevel="0" collapsed="false">
      <c r="A54" s="3" t="n">
        <f aca="false">'Shared Core Registry'!A54</f>
        <v>0</v>
      </c>
      <c r="B54" s="66" t="n">
        <f aca="false">'Shared Core Registry'!B54</f>
        <v>0</v>
      </c>
      <c r="C54" s="16" t="str">
        <f aca="false">'Shared Core Registry'!C54</f>
        <v>CLIMATE_SCENARIO_COVERAGE</v>
      </c>
      <c r="D54" s="71" t="n">
        <f aca="false">'Shared Core Registry'!M54</f>
        <v>0</v>
      </c>
      <c r="E54" s="72" t="str">
        <f aca="false">'Shared Core Registry'!L54</f>
        <v>Pending</v>
      </c>
      <c r="F54" s="73" t="n">
        <f aca="false">'Shared Core Registry'!N54</f>
        <v>0</v>
      </c>
      <c r="G54" s="74" t="n">
        <f aca="false">'Shared Core Registry'!O54</f>
        <v>0</v>
      </c>
    </row>
    <row r="55" customFormat="false" ht="18" hidden="false" customHeight="true" outlineLevel="0" collapsed="false">
      <c r="A55" s="3" t="n">
        <f aca="false">'Shared Core Registry'!A55</f>
        <v>0</v>
      </c>
      <c r="B55" s="66" t="n">
        <f aca="false">'Shared Core Registry'!B55</f>
        <v>0</v>
      </c>
      <c r="C55" s="5" t="str">
        <f aca="false">'Shared Core Registry'!C55</f>
        <v>CLIMATE_PHYSICAL_RISK_ACUTE_DESC</v>
      </c>
      <c r="D55" s="67" t="n">
        <f aca="false">'Shared Core Registry'!M55</f>
        <v>0</v>
      </c>
      <c r="E55" s="68" t="str">
        <f aca="false">'Shared Core Registry'!L55</f>
        <v>Pending</v>
      </c>
      <c r="F55" s="69" t="n">
        <f aca="false">'Shared Core Registry'!N55</f>
        <v>0</v>
      </c>
      <c r="G55" s="70" t="n">
        <f aca="false">'Shared Core Registry'!O55</f>
        <v>0</v>
      </c>
    </row>
    <row r="56" customFormat="false" ht="18" hidden="false" customHeight="true" outlineLevel="0" collapsed="false">
      <c r="A56" s="3" t="n">
        <f aca="false">'Shared Core Registry'!A56</f>
        <v>0</v>
      </c>
      <c r="B56" s="66" t="n">
        <f aca="false">'Shared Core Registry'!B56</f>
        <v>0</v>
      </c>
      <c r="C56" s="16" t="str">
        <f aca="false">'Shared Core Registry'!C56</f>
        <v>CLIMATE_PHYSICAL_RISK_CHRONIC_DESC</v>
      </c>
      <c r="D56" s="71" t="n">
        <f aca="false">'Shared Core Registry'!M56</f>
        <v>0</v>
      </c>
      <c r="E56" s="72" t="str">
        <f aca="false">'Shared Core Registry'!L56</f>
        <v>Pending</v>
      </c>
      <c r="F56" s="73" t="n">
        <f aca="false">'Shared Core Registry'!N56</f>
        <v>0</v>
      </c>
      <c r="G56" s="74" t="n">
        <f aca="false">'Shared Core Registry'!O56</f>
        <v>0</v>
      </c>
    </row>
    <row r="57" customFormat="false" ht="18" hidden="false" customHeight="true" outlineLevel="0" collapsed="false">
      <c r="A57" s="3" t="n">
        <f aca="false">'Shared Core Registry'!A57</f>
        <v>0</v>
      </c>
      <c r="B57" s="66" t="n">
        <f aca="false">'Shared Core Registry'!B57</f>
        <v>0</v>
      </c>
      <c r="C57" s="5" t="str">
        <f aca="false">'Shared Core Registry'!C57</f>
        <v>CLIMATE_TRANSITION_RISK_DESC</v>
      </c>
      <c r="D57" s="67" t="n">
        <f aca="false">'Shared Core Registry'!M57</f>
        <v>0</v>
      </c>
      <c r="E57" s="68" t="str">
        <f aca="false">'Shared Core Registry'!L57</f>
        <v>Pending</v>
      </c>
      <c r="F57" s="69" t="n">
        <f aca="false">'Shared Core Registry'!N57</f>
        <v>0</v>
      </c>
      <c r="G57" s="70" t="n">
        <f aca="false">'Shared Core Registry'!O57</f>
        <v>0</v>
      </c>
    </row>
    <row r="58" customFormat="false" ht="18" hidden="false" customHeight="true" outlineLevel="0" collapsed="false">
      <c r="A58" s="3" t="n">
        <f aca="false">'Shared Core Registry'!A58</f>
        <v>0</v>
      </c>
      <c r="B58" s="66" t="n">
        <f aca="false">'Shared Core Registry'!B58</f>
        <v>0</v>
      </c>
      <c r="C58" s="16" t="str">
        <f aca="false">'Shared Core Registry'!C58</f>
        <v>CLIMATE_CAPEX_ALIGNED_PCT</v>
      </c>
      <c r="D58" s="71" t="n">
        <f aca="false">'Shared Core Registry'!M58</f>
        <v>0</v>
      </c>
      <c r="E58" s="72" t="str">
        <f aca="false">'Shared Core Registry'!L58</f>
        <v>Pending</v>
      </c>
      <c r="F58" s="73" t="n">
        <f aca="false">'Shared Core Registry'!N58</f>
        <v>0</v>
      </c>
      <c r="G58" s="74" t="n">
        <f aca="false">'Shared Core Registry'!O58</f>
        <v>0</v>
      </c>
    </row>
    <row r="59" customFormat="false" ht="18" hidden="false" customHeight="true" outlineLevel="0" collapsed="false">
      <c r="A59" s="23" t="str">
        <f aca="false">'Shared Core Registry'!A59</f>
        <v>Social</v>
      </c>
      <c r="B59" s="75" t="str">
        <f aca="false">'Shared Core Registry'!B59</f>
        <v>Workforce</v>
      </c>
      <c r="C59" s="5" t="str">
        <f aca="false">'Shared Core Registry'!C59</f>
        <v>WFORCE_HEADCOUNT_TOTAL</v>
      </c>
      <c r="D59" s="67" t="n">
        <f aca="false">'Shared Core Registry'!M59</f>
        <v>0</v>
      </c>
      <c r="E59" s="68" t="str">
        <f aca="false">'Shared Core Registry'!L59</f>
        <v>Pending</v>
      </c>
      <c r="F59" s="69" t="n">
        <f aca="false">'Shared Core Registry'!N59</f>
        <v>0</v>
      </c>
      <c r="G59" s="70" t="n">
        <f aca="false">'Shared Core Registry'!O59</f>
        <v>0</v>
      </c>
    </row>
    <row r="60" customFormat="false" ht="18" hidden="false" customHeight="true" outlineLevel="0" collapsed="false">
      <c r="A60" s="23" t="n">
        <f aca="false">'Shared Core Registry'!A60</f>
        <v>0</v>
      </c>
      <c r="B60" s="75" t="n">
        <f aca="false">'Shared Core Registry'!B60</f>
        <v>0</v>
      </c>
      <c r="C60" s="16" t="str">
        <f aca="false">'Shared Core Registry'!C60</f>
        <v>WFORCE_FTE_TOTAL</v>
      </c>
      <c r="D60" s="71" t="n">
        <f aca="false">'Shared Core Registry'!M60</f>
        <v>0</v>
      </c>
      <c r="E60" s="72" t="str">
        <f aca="false">'Shared Core Registry'!L60</f>
        <v>Pending</v>
      </c>
      <c r="F60" s="73" t="n">
        <f aca="false">'Shared Core Registry'!N60</f>
        <v>0</v>
      </c>
      <c r="G60" s="74" t="n">
        <f aca="false">'Shared Core Registry'!O60</f>
        <v>0</v>
      </c>
    </row>
    <row r="61" customFormat="false" ht="18" hidden="false" customHeight="true" outlineLevel="0" collapsed="false">
      <c r="A61" s="23" t="n">
        <f aca="false">'Shared Core Registry'!A61</f>
        <v>0</v>
      </c>
      <c r="B61" s="75" t="n">
        <f aca="false">'Shared Core Registry'!B61</f>
        <v>0</v>
      </c>
      <c r="C61" s="5" t="str">
        <f aca="false">'Shared Core Registry'!C61</f>
        <v>WFORCE_PERMANENT_PCT</v>
      </c>
      <c r="D61" s="67" t="n">
        <f aca="false">'Shared Core Registry'!M61</f>
        <v>0</v>
      </c>
      <c r="E61" s="68" t="str">
        <f aca="false">'Shared Core Registry'!L61</f>
        <v>Pending</v>
      </c>
      <c r="F61" s="69" t="n">
        <f aca="false">'Shared Core Registry'!N61</f>
        <v>0</v>
      </c>
      <c r="G61" s="70" t="n">
        <f aca="false">'Shared Core Registry'!O61</f>
        <v>0</v>
      </c>
    </row>
    <row r="62" customFormat="false" ht="18" hidden="false" customHeight="true" outlineLevel="0" collapsed="false">
      <c r="A62" s="23" t="n">
        <f aca="false">'Shared Core Registry'!A62</f>
        <v>0</v>
      </c>
      <c r="B62" s="75" t="n">
        <f aca="false">'Shared Core Registry'!B62</f>
        <v>0</v>
      </c>
      <c r="C62" s="16" t="str">
        <f aca="false">'Shared Core Registry'!C62</f>
        <v>WFORCE_PARTTIME_PCT</v>
      </c>
      <c r="D62" s="71" t="n">
        <f aca="false">'Shared Core Registry'!M62</f>
        <v>0</v>
      </c>
      <c r="E62" s="72" t="str">
        <f aca="false">'Shared Core Registry'!L62</f>
        <v>Pending</v>
      </c>
      <c r="F62" s="73" t="n">
        <f aca="false">'Shared Core Registry'!N62</f>
        <v>0</v>
      </c>
      <c r="G62" s="74" t="n">
        <f aca="false">'Shared Core Registry'!O62</f>
        <v>0</v>
      </c>
    </row>
    <row r="63" customFormat="false" ht="18" hidden="false" customHeight="true" outlineLevel="0" collapsed="false">
      <c r="A63" s="23" t="n">
        <f aca="false">'Shared Core Registry'!A63</f>
        <v>0</v>
      </c>
      <c r="B63" s="75" t="n">
        <f aca="false">'Shared Core Registry'!B63</f>
        <v>0</v>
      </c>
      <c r="C63" s="5" t="str">
        <f aca="false">'Shared Core Registry'!C63</f>
        <v>WFORCE_NEW_HIRES_COUNT</v>
      </c>
      <c r="D63" s="67" t="n">
        <f aca="false">'Shared Core Registry'!M63</f>
        <v>0</v>
      </c>
      <c r="E63" s="68" t="str">
        <f aca="false">'Shared Core Registry'!L63</f>
        <v>Pending</v>
      </c>
      <c r="F63" s="69" t="n">
        <f aca="false">'Shared Core Registry'!N63</f>
        <v>0</v>
      </c>
      <c r="G63" s="70" t="n">
        <f aca="false">'Shared Core Registry'!O63</f>
        <v>0</v>
      </c>
    </row>
    <row r="64" customFormat="false" ht="18" hidden="false" customHeight="true" outlineLevel="0" collapsed="false">
      <c r="A64" s="23" t="n">
        <f aca="false">'Shared Core Registry'!A64</f>
        <v>0</v>
      </c>
      <c r="B64" s="75" t="n">
        <f aca="false">'Shared Core Registry'!B64</f>
        <v>0</v>
      </c>
      <c r="C64" s="16" t="str">
        <f aca="false">'Shared Core Registry'!C64</f>
        <v>WFORCE_TURNOVER_RATE_PCT</v>
      </c>
      <c r="D64" s="71" t="n">
        <f aca="false">'Shared Core Registry'!M64</f>
        <v>0</v>
      </c>
      <c r="E64" s="72" t="str">
        <f aca="false">'Shared Core Registry'!L64</f>
        <v>Pending</v>
      </c>
      <c r="F64" s="73" t="n">
        <f aca="false">'Shared Core Registry'!N64</f>
        <v>0</v>
      </c>
      <c r="G64" s="74" t="n">
        <f aca="false">'Shared Core Registry'!O64</f>
        <v>0</v>
      </c>
    </row>
    <row r="65" customFormat="false" ht="18" hidden="false" customHeight="true" outlineLevel="0" collapsed="false">
      <c r="A65" s="23" t="n">
        <f aca="false">'Shared Core Registry'!A65</f>
        <v>0</v>
      </c>
      <c r="B65" s="75" t="n">
        <f aca="false">'Shared Core Registry'!B65</f>
        <v>0</v>
      </c>
      <c r="C65" s="5" t="str">
        <f aca="false">'Shared Core Registry'!C65</f>
        <v>WFORCE_COLLECTIVE_BARGAIN_PCT</v>
      </c>
      <c r="D65" s="67" t="n">
        <f aca="false">'Shared Core Registry'!M65</f>
        <v>0</v>
      </c>
      <c r="E65" s="68" t="str">
        <f aca="false">'Shared Core Registry'!L65</f>
        <v>Pending</v>
      </c>
      <c r="F65" s="69" t="n">
        <f aca="false">'Shared Core Registry'!N65</f>
        <v>0</v>
      </c>
      <c r="G65" s="70" t="n">
        <f aca="false">'Shared Core Registry'!O65</f>
        <v>0</v>
      </c>
    </row>
    <row r="66" customFormat="false" ht="18" hidden="false" customHeight="true" outlineLevel="0" collapsed="false">
      <c r="A66" s="23" t="n">
        <f aca="false">'Shared Core Registry'!A66</f>
        <v>0</v>
      </c>
      <c r="B66" s="75" t="n">
        <f aca="false">'Shared Core Registry'!B66</f>
        <v>0</v>
      </c>
      <c r="C66" s="16" t="str">
        <f aca="false">'Shared Core Registry'!C66</f>
        <v>WFORCE_TRAINING_HOURS_AVG</v>
      </c>
      <c r="D66" s="71" t="n">
        <f aca="false">'Shared Core Registry'!M66</f>
        <v>0</v>
      </c>
      <c r="E66" s="72" t="str">
        <f aca="false">'Shared Core Registry'!L66</f>
        <v>Pending</v>
      </c>
      <c r="F66" s="73" t="n">
        <f aca="false">'Shared Core Registry'!N66</f>
        <v>0</v>
      </c>
      <c r="G66" s="74" t="n">
        <f aca="false">'Shared Core Registry'!O66</f>
        <v>0</v>
      </c>
    </row>
    <row r="67" customFormat="false" ht="18" hidden="false" customHeight="true" outlineLevel="0" collapsed="false">
      <c r="A67" s="23" t="n">
        <f aca="false">'Shared Core Registry'!A67</f>
        <v>0</v>
      </c>
      <c r="B67" s="75" t="n">
        <f aca="false">'Shared Core Registry'!B67</f>
        <v>0</v>
      </c>
      <c r="C67" s="5" t="str">
        <f aca="false">'Shared Core Registry'!C67</f>
        <v>WFORCE_PERF_REVIEW_PCT</v>
      </c>
      <c r="D67" s="67" t="n">
        <f aca="false">'Shared Core Registry'!M67</f>
        <v>0</v>
      </c>
      <c r="E67" s="68" t="str">
        <f aca="false">'Shared Core Registry'!L67</f>
        <v>Pending</v>
      </c>
      <c r="F67" s="69" t="n">
        <f aca="false">'Shared Core Registry'!N67</f>
        <v>0</v>
      </c>
      <c r="G67" s="70" t="n">
        <f aca="false">'Shared Core Registry'!O67</f>
        <v>0</v>
      </c>
    </row>
    <row r="68" customFormat="false" ht="18" hidden="false" customHeight="true" outlineLevel="0" collapsed="false">
      <c r="A68" s="23" t="n">
        <f aca="false">'Shared Core Registry'!A68</f>
        <v>0</v>
      </c>
      <c r="B68" s="75" t="n">
        <f aca="false">'Shared Core Registry'!B68</f>
        <v>0</v>
      </c>
      <c r="C68" s="16" t="str">
        <f aca="false">'Shared Core Registry'!C68</f>
        <v>WFORCE_MEDIAN_WAGE_EUR</v>
      </c>
      <c r="D68" s="71" t="n">
        <f aca="false">'Shared Core Registry'!M68</f>
        <v>0</v>
      </c>
      <c r="E68" s="72" t="str">
        <f aca="false">'Shared Core Registry'!L68</f>
        <v>Pending</v>
      </c>
      <c r="F68" s="73" t="n">
        <f aca="false">'Shared Core Registry'!N68</f>
        <v>0</v>
      </c>
      <c r="G68" s="74" t="n">
        <f aca="false">'Shared Core Registry'!O68</f>
        <v>0</v>
      </c>
    </row>
    <row r="69" customFormat="false" ht="18" hidden="false" customHeight="true" outlineLevel="0" collapsed="false">
      <c r="A69" s="23" t="n">
        <f aca="false">'Shared Core Registry'!A69</f>
        <v>0</v>
      </c>
      <c r="B69" s="75" t="str">
        <f aca="false">'Shared Core Registry'!B69</f>
        <v>Health &amp; Safety</v>
      </c>
      <c r="C69" s="5" t="str">
        <f aca="false">'Shared Core Registry'!C69</f>
        <v>OHS_FATALITIES_EMPLOYEES</v>
      </c>
      <c r="D69" s="67" t="n">
        <f aca="false">'Shared Core Registry'!M69</f>
        <v>0</v>
      </c>
      <c r="E69" s="68" t="str">
        <f aca="false">'Shared Core Registry'!L69</f>
        <v>Pending</v>
      </c>
      <c r="F69" s="69" t="n">
        <f aca="false">'Shared Core Registry'!N69</f>
        <v>0</v>
      </c>
      <c r="G69" s="70" t="n">
        <f aca="false">'Shared Core Registry'!O69</f>
        <v>0</v>
      </c>
    </row>
    <row r="70" customFormat="false" ht="18" hidden="false" customHeight="true" outlineLevel="0" collapsed="false">
      <c r="A70" s="23" t="n">
        <f aca="false">'Shared Core Registry'!A70</f>
        <v>0</v>
      </c>
      <c r="B70" s="75" t="n">
        <f aca="false">'Shared Core Registry'!B70</f>
        <v>0</v>
      </c>
      <c r="C70" s="16" t="str">
        <f aca="false">'Shared Core Registry'!C70</f>
        <v>OHS_FATALITIES_CONTRACTORS</v>
      </c>
      <c r="D70" s="71" t="n">
        <f aca="false">'Shared Core Registry'!M70</f>
        <v>0</v>
      </c>
      <c r="E70" s="72" t="str">
        <f aca="false">'Shared Core Registry'!L70</f>
        <v>Pending</v>
      </c>
      <c r="F70" s="73" t="n">
        <f aca="false">'Shared Core Registry'!N70</f>
        <v>0</v>
      </c>
      <c r="G70" s="74" t="n">
        <f aca="false">'Shared Core Registry'!O70</f>
        <v>0</v>
      </c>
    </row>
    <row r="71" customFormat="false" ht="18" hidden="false" customHeight="true" outlineLevel="0" collapsed="false">
      <c r="A71" s="23" t="n">
        <f aca="false">'Shared Core Registry'!A71</f>
        <v>0</v>
      </c>
      <c r="B71" s="75" t="n">
        <f aca="false">'Shared Core Registry'!B71</f>
        <v>0</v>
      </c>
      <c r="C71" s="5" t="str">
        <f aca="false">'Shared Core Registry'!C71</f>
        <v>OHS_LTIR_EMPLOYEES</v>
      </c>
      <c r="D71" s="67" t="n">
        <f aca="false">'Shared Core Registry'!M71</f>
        <v>0</v>
      </c>
      <c r="E71" s="68" t="str">
        <f aca="false">'Shared Core Registry'!L71</f>
        <v>Pending</v>
      </c>
      <c r="F71" s="69" t="n">
        <f aca="false">'Shared Core Registry'!N71</f>
        <v>0</v>
      </c>
      <c r="G71" s="70" t="n">
        <f aca="false">'Shared Core Registry'!O71</f>
        <v>0</v>
      </c>
    </row>
    <row r="72" customFormat="false" ht="18" hidden="false" customHeight="true" outlineLevel="0" collapsed="false">
      <c r="A72" s="23" t="n">
        <f aca="false">'Shared Core Registry'!A72</f>
        <v>0</v>
      </c>
      <c r="B72" s="75" t="n">
        <f aca="false">'Shared Core Registry'!B72</f>
        <v>0</v>
      </c>
      <c r="C72" s="16" t="str">
        <f aca="false">'Shared Core Registry'!C72</f>
        <v>OHS_LTIR_CONTRACTORS</v>
      </c>
      <c r="D72" s="71" t="n">
        <f aca="false">'Shared Core Registry'!M72</f>
        <v>0</v>
      </c>
      <c r="E72" s="72" t="str">
        <f aca="false">'Shared Core Registry'!L72</f>
        <v>Pending</v>
      </c>
      <c r="F72" s="73" t="n">
        <f aca="false">'Shared Core Registry'!N72</f>
        <v>0</v>
      </c>
      <c r="G72" s="74" t="n">
        <f aca="false">'Shared Core Registry'!O72</f>
        <v>0</v>
      </c>
    </row>
    <row r="73" customFormat="false" ht="18" hidden="false" customHeight="true" outlineLevel="0" collapsed="false">
      <c r="A73" s="23" t="n">
        <f aca="false">'Shared Core Registry'!A73</f>
        <v>0</v>
      </c>
      <c r="B73" s="75" t="n">
        <f aca="false">'Shared Core Registry'!B73</f>
        <v>0</v>
      </c>
      <c r="C73" s="5" t="str">
        <f aca="false">'Shared Core Registry'!C73</f>
        <v>OHS_RECORDABLE_RATE</v>
      </c>
      <c r="D73" s="67" t="n">
        <f aca="false">'Shared Core Registry'!M73</f>
        <v>0</v>
      </c>
      <c r="E73" s="68" t="str">
        <f aca="false">'Shared Core Registry'!L73</f>
        <v>Pending</v>
      </c>
      <c r="F73" s="69" t="n">
        <f aca="false">'Shared Core Registry'!N73</f>
        <v>0</v>
      </c>
      <c r="G73" s="70" t="n">
        <f aca="false">'Shared Core Registry'!O73</f>
        <v>0</v>
      </c>
    </row>
    <row r="74" customFormat="false" ht="18" hidden="false" customHeight="true" outlineLevel="0" collapsed="false">
      <c r="A74" s="23" t="n">
        <f aca="false">'Shared Core Registry'!A74</f>
        <v>0</v>
      </c>
      <c r="B74" s="75" t="n">
        <f aca="false">'Shared Core Registry'!B74</f>
        <v>0</v>
      </c>
      <c r="C74" s="16" t="str">
        <f aca="false">'Shared Core Registry'!C74</f>
        <v>OHS_DAYS_LOST</v>
      </c>
      <c r="D74" s="71" t="n">
        <f aca="false">'Shared Core Registry'!M74</f>
        <v>0</v>
      </c>
      <c r="E74" s="72" t="str">
        <f aca="false">'Shared Core Registry'!L74</f>
        <v>Pending</v>
      </c>
      <c r="F74" s="73" t="n">
        <f aca="false">'Shared Core Registry'!N74</f>
        <v>0</v>
      </c>
      <c r="G74" s="74" t="n">
        <f aca="false">'Shared Core Registry'!O74</f>
        <v>0</v>
      </c>
    </row>
    <row r="75" customFormat="false" ht="18" hidden="false" customHeight="true" outlineLevel="0" collapsed="false">
      <c r="A75" s="23" t="n">
        <f aca="false">'Shared Core Registry'!A75</f>
        <v>0</v>
      </c>
      <c r="B75" s="75" t="n">
        <f aca="false">'Shared Core Registry'!B75</f>
        <v>0</v>
      </c>
      <c r="C75" s="5" t="str">
        <f aca="false">'Shared Core Registry'!C75</f>
        <v>OHS_WORK_HOURS_TOTAL</v>
      </c>
      <c r="D75" s="67" t="n">
        <f aca="false">'Shared Core Registry'!M75</f>
        <v>0</v>
      </c>
      <c r="E75" s="68" t="str">
        <f aca="false">'Shared Core Registry'!L75</f>
        <v>Pending</v>
      </c>
      <c r="F75" s="69" t="n">
        <f aca="false">'Shared Core Registry'!N75</f>
        <v>0</v>
      </c>
      <c r="G75" s="70" t="n">
        <f aca="false">'Shared Core Registry'!O75</f>
        <v>0</v>
      </c>
    </row>
    <row r="76" customFormat="false" ht="18" hidden="false" customHeight="true" outlineLevel="0" collapsed="false">
      <c r="A76" s="23" t="n">
        <f aca="false">'Shared Core Registry'!A76</f>
        <v>0</v>
      </c>
      <c r="B76" s="75" t="n">
        <f aca="false">'Shared Core Registry'!B76</f>
        <v>0</v>
      </c>
      <c r="C76" s="16" t="str">
        <f aca="false">'Shared Core Registry'!C76</f>
        <v>OHS_MGMT_SYSTEM_PCT</v>
      </c>
      <c r="D76" s="71" t="n">
        <f aca="false">'Shared Core Registry'!M76</f>
        <v>0</v>
      </c>
      <c r="E76" s="72" t="str">
        <f aca="false">'Shared Core Registry'!L76</f>
        <v>Pending</v>
      </c>
      <c r="F76" s="73" t="n">
        <f aca="false">'Shared Core Registry'!N76</f>
        <v>0</v>
      </c>
      <c r="G76" s="74" t="n">
        <f aca="false">'Shared Core Registry'!O76</f>
        <v>0</v>
      </c>
    </row>
    <row r="77" customFormat="false" ht="18" hidden="false" customHeight="true" outlineLevel="0" collapsed="false">
      <c r="A77" s="23" t="n">
        <f aca="false">'Shared Core Registry'!A77</f>
        <v>0</v>
      </c>
      <c r="B77" s="75" t="str">
        <f aca="false">'Shared Core Registry'!B77</f>
        <v>Diversity &amp; Equity</v>
      </c>
      <c r="C77" s="5" t="str">
        <f aca="false">'Shared Core Registry'!C77</f>
        <v>DIV_GENDER_WOMEN_TOTAL_PCT</v>
      </c>
      <c r="D77" s="67" t="n">
        <f aca="false">'Shared Core Registry'!M77</f>
        <v>0</v>
      </c>
      <c r="E77" s="68" t="str">
        <f aca="false">'Shared Core Registry'!L77</f>
        <v>Pending</v>
      </c>
      <c r="F77" s="69" t="n">
        <f aca="false">'Shared Core Registry'!N77</f>
        <v>0</v>
      </c>
      <c r="G77" s="70" t="n">
        <f aca="false">'Shared Core Registry'!O77</f>
        <v>0</v>
      </c>
    </row>
    <row r="78" customFormat="false" ht="18" hidden="false" customHeight="true" outlineLevel="0" collapsed="false">
      <c r="A78" s="23" t="n">
        <f aca="false">'Shared Core Registry'!A78</f>
        <v>0</v>
      </c>
      <c r="B78" s="75" t="n">
        <f aca="false">'Shared Core Registry'!B78</f>
        <v>0</v>
      </c>
      <c r="C78" s="16" t="str">
        <f aca="false">'Shared Core Registry'!C78</f>
        <v>DIV_GENDER_WOMEN_MGMT_PCT</v>
      </c>
      <c r="D78" s="71" t="n">
        <f aca="false">'Shared Core Registry'!M78</f>
        <v>0</v>
      </c>
      <c r="E78" s="72" t="str">
        <f aca="false">'Shared Core Registry'!L78</f>
        <v>Pending</v>
      </c>
      <c r="F78" s="73" t="n">
        <f aca="false">'Shared Core Registry'!N78</f>
        <v>0</v>
      </c>
      <c r="G78" s="74" t="n">
        <f aca="false">'Shared Core Registry'!O78</f>
        <v>0</v>
      </c>
    </row>
    <row r="79" customFormat="false" ht="18" hidden="false" customHeight="true" outlineLevel="0" collapsed="false">
      <c r="A79" s="23" t="n">
        <f aca="false">'Shared Core Registry'!A79</f>
        <v>0</v>
      </c>
      <c r="B79" s="75" t="n">
        <f aca="false">'Shared Core Registry'!B79</f>
        <v>0</v>
      </c>
      <c r="C79" s="5" t="str">
        <f aca="false">'Shared Core Registry'!C79</f>
        <v>DIV_GENDER_WOMEN_BOARD_PCT</v>
      </c>
      <c r="D79" s="67" t="n">
        <f aca="false">'Shared Core Registry'!M79</f>
        <v>0</v>
      </c>
      <c r="E79" s="68" t="str">
        <f aca="false">'Shared Core Registry'!L79</f>
        <v>Pending</v>
      </c>
      <c r="F79" s="69" t="n">
        <f aca="false">'Shared Core Registry'!N79</f>
        <v>0</v>
      </c>
      <c r="G79" s="70" t="n">
        <f aca="false">'Shared Core Registry'!O79</f>
        <v>0</v>
      </c>
    </row>
    <row r="80" customFormat="false" ht="18" hidden="false" customHeight="true" outlineLevel="0" collapsed="false">
      <c r="A80" s="23" t="n">
        <f aca="false">'Shared Core Registry'!A80</f>
        <v>0</v>
      </c>
      <c r="B80" s="75" t="n">
        <f aca="false">'Shared Core Registry'!B80</f>
        <v>0</v>
      </c>
      <c r="C80" s="16" t="str">
        <f aca="false">'Shared Core Registry'!C80</f>
        <v>DIV_GENDER_PAY_GAP_PCT</v>
      </c>
      <c r="D80" s="71" t="n">
        <f aca="false">'Shared Core Registry'!M80</f>
        <v>0</v>
      </c>
      <c r="E80" s="72" t="str">
        <f aca="false">'Shared Core Registry'!L80</f>
        <v>Pending</v>
      </c>
      <c r="F80" s="73" t="n">
        <f aca="false">'Shared Core Registry'!N80</f>
        <v>0</v>
      </c>
      <c r="G80" s="74" t="n">
        <f aca="false">'Shared Core Registry'!O80</f>
        <v>0</v>
      </c>
    </row>
    <row r="81" customFormat="false" ht="18" hidden="false" customHeight="true" outlineLevel="0" collapsed="false">
      <c r="A81" s="23" t="n">
        <f aca="false">'Shared Core Registry'!A81</f>
        <v>0</v>
      </c>
      <c r="B81" s="75" t="n">
        <f aca="false">'Shared Core Registry'!B81</f>
        <v>0</v>
      </c>
      <c r="C81" s="5" t="str">
        <f aca="false">'Shared Core Registry'!C81</f>
        <v>DIV_CEO_PAY_RATIO</v>
      </c>
      <c r="D81" s="67" t="n">
        <f aca="false">'Shared Core Registry'!M81</f>
        <v>0</v>
      </c>
      <c r="E81" s="68" t="str">
        <f aca="false">'Shared Core Registry'!L81</f>
        <v>Pending</v>
      </c>
      <c r="F81" s="69" t="n">
        <f aca="false">'Shared Core Registry'!N81</f>
        <v>0</v>
      </c>
      <c r="G81" s="70" t="n">
        <f aca="false">'Shared Core Registry'!O81</f>
        <v>0</v>
      </c>
    </row>
    <row r="82" customFormat="false" ht="18" hidden="false" customHeight="true" outlineLevel="0" collapsed="false">
      <c r="A82" s="23" t="n">
        <f aca="false">'Shared Core Registry'!A82</f>
        <v>0</v>
      </c>
      <c r="B82" s="75" t="n">
        <f aca="false">'Shared Core Registry'!B82</f>
        <v>0</v>
      </c>
      <c r="C82" s="16" t="str">
        <f aca="false">'Shared Core Registry'!C82</f>
        <v>DIV_AGE_UNDER30_PCT</v>
      </c>
      <c r="D82" s="71" t="n">
        <f aca="false">'Shared Core Registry'!M82</f>
        <v>0</v>
      </c>
      <c r="E82" s="72" t="str">
        <f aca="false">'Shared Core Registry'!L82</f>
        <v>Pending</v>
      </c>
      <c r="F82" s="73" t="n">
        <f aca="false">'Shared Core Registry'!N82</f>
        <v>0</v>
      </c>
      <c r="G82" s="74" t="n">
        <f aca="false">'Shared Core Registry'!O82</f>
        <v>0</v>
      </c>
    </row>
    <row r="83" customFormat="false" ht="18" hidden="false" customHeight="true" outlineLevel="0" collapsed="false">
      <c r="A83" s="23" t="n">
        <f aca="false">'Shared Core Registry'!A83</f>
        <v>0</v>
      </c>
      <c r="B83" s="75" t="n">
        <f aca="false">'Shared Core Registry'!B83</f>
        <v>0</v>
      </c>
      <c r="C83" s="5" t="str">
        <f aca="false">'Shared Core Registry'!C83</f>
        <v>DIV_PARENTAL_LEAVE_RETURN_PCT</v>
      </c>
      <c r="D83" s="67" t="n">
        <f aca="false">'Shared Core Registry'!M83</f>
        <v>0</v>
      </c>
      <c r="E83" s="68" t="str">
        <f aca="false">'Shared Core Registry'!L83</f>
        <v>Pending</v>
      </c>
      <c r="F83" s="69" t="n">
        <f aca="false">'Shared Core Registry'!N83</f>
        <v>0</v>
      </c>
      <c r="G83" s="70" t="n">
        <f aca="false">'Shared Core Registry'!O83</f>
        <v>0</v>
      </c>
    </row>
    <row r="84" customFormat="false" ht="18" hidden="false" customHeight="true" outlineLevel="0" collapsed="false">
      <c r="A84" s="23" t="n">
        <f aca="false">'Shared Core Registry'!A84</f>
        <v>0</v>
      </c>
      <c r="B84" s="75" t="n">
        <f aca="false">'Shared Core Registry'!B84</f>
        <v>0</v>
      </c>
      <c r="C84" s="16" t="str">
        <f aca="false">'Shared Core Registry'!C84</f>
        <v>DIV_DISCRIMINATION_INCIDENTS</v>
      </c>
      <c r="D84" s="71" t="n">
        <f aca="false">'Shared Core Registry'!M84</f>
        <v>0</v>
      </c>
      <c r="E84" s="72" t="str">
        <f aca="false">'Shared Core Registry'!L84</f>
        <v>Pending</v>
      </c>
      <c r="F84" s="73" t="n">
        <f aca="false">'Shared Core Registry'!N84</f>
        <v>0</v>
      </c>
      <c r="G84" s="74" t="n">
        <f aca="false">'Shared Core Registry'!O84</f>
        <v>0</v>
      </c>
    </row>
    <row r="85" customFormat="false" ht="18" hidden="false" customHeight="true" outlineLevel="0" collapsed="false">
      <c r="A85" s="23" t="n">
        <f aca="false">'Shared Core Registry'!A85</f>
        <v>0</v>
      </c>
      <c r="B85" s="75" t="n">
        <f aca="false">'Shared Core Registry'!B85</f>
        <v>0</v>
      </c>
      <c r="C85" s="5" t="str">
        <f aca="false">'Shared Core Registry'!C85</f>
        <v>DIV_DISABILITY_PCT</v>
      </c>
      <c r="D85" s="67" t="n">
        <f aca="false">'Shared Core Registry'!M85</f>
        <v>0</v>
      </c>
      <c r="E85" s="68" t="str">
        <f aca="false">'Shared Core Registry'!L85</f>
        <v>Pending</v>
      </c>
      <c r="F85" s="69" t="n">
        <f aca="false">'Shared Core Registry'!N85</f>
        <v>0</v>
      </c>
      <c r="G85" s="70" t="n">
        <f aca="false">'Shared Core Registry'!O85</f>
        <v>0</v>
      </c>
    </row>
    <row r="86" customFormat="false" ht="18" hidden="false" customHeight="true" outlineLevel="0" collapsed="false">
      <c r="A86" s="23" t="n">
        <f aca="false">'Shared Core Registry'!A86</f>
        <v>0</v>
      </c>
      <c r="B86" s="75" t="n">
        <f aca="false">'Shared Core Registry'!B86</f>
        <v>0</v>
      </c>
      <c r="C86" s="16" t="str">
        <f aca="false">'Shared Core Registry'!C86</f>
        <v>DIV_SURVEY_ENGAGEMENT_SCORE</v>
      </c>
      <c r="D86" s="71" t="n">
        <f aca="false">'Shared Core Registry'!M86</f>
        <v>0</v>
      </c>
      <c r="E86" s="72" t="str">
        <f aca="false">'Shared Core Registry'!L86</f>
        <v>Pending</v>
      </c>
      <c r="F86" s="73" t="n">
        <f aca="false">'Shared Core Registry'!N86</f>
        <v>0</v>
      </c>
      <c r="G86" s="74" t="n">
        <f aca="false">'Shared Core Registry'!O86</f>
        <v>0</v>
      </c>
    </row>
    <row r="87" customFormat="false" ht="18" hidden="false" customHeight="true" outlineLevel="0" collapsed="false">
      <c r="A87" s="23" t="n">
        <f aca="false">'Shared Core Registry'!A87</f>
        <v>0</v>
      </c>
      <c r="B87" s="75" t="str">
        <f aca="false">'Shared Core Registry'!B87</f>
        <v>Compensation</v>
      </c>
      <c r="C87" s="5" t="str">
        <f aca="false">'Shared Core Registry'!C87</f>
        <v>COMP_LIVING_WAGE_PCT</v>
      </c>
      <c r="D87" s="67" t="n">
        <f aca="false">'Shared Core Registry'!M87</f>
        <v>0</v>
      </c>
      <c r="E87" s="68" t="str">
        <f aca="false">'Shared Core Registry'!L87</f>
        <v>Pending</v>
      </c>
      <c r="F87" s="69" t="n">
        <f aca="false">'Shared Core Registry'!N87</f>
        <v>0</v>
      </c>
      <c r="G87" s="70" t="n">
        <f aca="false">'Shared Core Registry'!O87</f>
        <v>0</v>
      </c>
    </row>
    <row r="88" customFormat="false" ht="18" hidden="false" customHeight="true" outlineLevel="0" collapsed="false">
      <c r="A88" s="23" t="n">
        <f aca="false">'Shared Core Registry'!A88</f>
        <v>0</v>
      </c>
      <c r="B88" s="75" t="n">
        <f aca="false">'Shared Core Registry'!B88</f>
        <v>0</v>
      </c>
      <c r="C88" s="16" t="str">
        <f aca="false">'Shared Core Registry'!C88</f>
        <v>COMP_SOCIAL_PROTECTION_PCT</v>
      </c>
      <c r="D88" s="71" t="n">
        <f aca="false">'Shared Core Registry'!M88</f>
        <v>0</v>
      </c>
      <c r="E88" s="72" t="str">
        <f aca="false">'Shared Core Registry'!L88</f>
        <v>Pending</v>
      </c>
      <c r="F88" s="73" t="n">
        <f aca="false">'Shared Core Registry'!N88</f>
        <v>0</v>
      </c>
      <c r="G88" s="74" t="n">
        <f aca="false">'Shared Core Registry'!O88</f>
        <v>0</v>
      </c>
    </row>
    <row r="89" customFormat="false" ht="18" hidden="false" customHeight="true" outlineLevel="0" collapsed="false">
      <c r="A89" s="23" t="n">
        <f aca="false">'Shared Core Registry'!A89</f>
        <v>0</v>
      </c>
      <c r="B89" s="75" t="n">
        <f aca="false">'Shared Core Registry'!B89</f>
        <v>0</v>
      </c>
      <c r="C89" s="5" t="str">
        <f aca="false">'Shared Core Registry'!C89</f>
        <v>COMP_ESG_EXEC_LINKED_PCT</v>
      </c>
      <c r="D89" s="67" t="n">
        <f aca="false">'Shared Core Registry'!M89</f>
        <v>0</v>
      </c>
      <c r="E89" s="68" t="str">
        <f aca="false">'Shared Core Registry'!L89</f>
        <v>Pending</v>
      </c>
      <c r="F89" s="69" t="n">
        <f aca="false">'Shared Core Registry'!N89</f>
        <v>0</v>
      </c>
      <c r="G89" s="70" t="n">
        <f aca="false">'Shared Core Registry'!O89</f>
        <v>0</v>
      </c>
    </row>
    <row r="90" customFormat="false" ht="18" hidden="false" customHeight="true" outlineLevel="0" collapsed="false">
      <c r="A90" s="23" t="n">
        <f aca="false">'Shared Core Registry'!A90</f>
        <v>0</v>
      </c>
      <c r="B90" s="75" t="n">
        <f aca="false">'Shared Core Registry'!B90</f>
        <v>0</v>
      </c>
      <c r="C90" s="16" t="str">
        <f aca="false">'Shared Core Registry'!C90</f>
        <v>COMP_GRIEVANCE_FILED</v>
      </c>
      <c r="D90" s="71" t="n">
        <f aca="false">'Shared Core Registry'!M90</f>
        <v>0</v>
      </c>
      <c r="E90" s="72" t="str">
        <f aca="false">'Shared Core Registry'!L90</f>
        <v>Pending</v>
      </c>
      <c r="F90" s="73" t="n">
        <f aca="false">'Shared Core Registry'!N90</f>
        <v>0</v>
      </c>
      <c r="G90" s="74" t="n">
        <f aca="false">'Shared Core Registry'!O90</f>
        <v>0</v>
      </c>
    </row>
    <row r="91" customFormat="false" ht="18" hidden="false" customHeight="true" outlineLevel="0" collapsed="false">
      <c r="A91" s="23" t="n">
        <f aca="false">'Shared Core Registry'!A91</f>
        <v>0</v>
      </c>
      <c r="B91" s="75" t="n">
        <f aca="false">'Shared Core Registry'!B91</f>
        <v>0</v>
      </c>
      <c r="C91" s="5" t="str">
        <f aca="false">'Shared Core Registry'!C91</f>
        <v>COMP_GRIEVANCE_RESOLVED_PCT</v>
      </c>
      <c r="D91" s="67" t="n">
        <f aca="false">'Shared Core Registry'!M91</f>
        <v>0</v>
      </c>
      <c r="E91" s="68" t="str">
        <f aca="false">'Shared Core Registry'!L91</f>
        <v>Pending</v>
      </c>
      <c r="F91" s="69" t="n">
        <f aca="false">'Shared Core Registry'!N91</f>
        <v>0</v>
      </c>
      <c r="G91" s="70" t="n">
        <f aca="false">'Shared Core Registry'!O91</f>
        <v>0</v>
      </c>
    </row>
    <row r="92" customFormat="false" ht="18" hidden="false" customHeight="true" outlineLevel="0" collapsed="false">
      <c r="A92" s="23" t="n">
        <f aca="false">'Shared Core Registry'!A92</f>
        <v>0</v>
      </c>
      <c r="B92" s="75" t="n">
        <f aca="false">'Shared Core Registry'!B92</f>
        <v>0</v>
      </c>
      <c r="C92" s="16" t="str">
        <f aca="false">'Shared Core Registry'!C92</f>
        <v>COMP_WHISTLEBLOWER_EXISTS</v>
      </c>
      <c r="D92" s="71" t="n">
        <f aca="false">'Shared Core Registry'!M92</f>
        <v>0</v>
      </c>
      <c r="E92" s="72" t="str">
        <f aca="false">'Shared Core Registry'!L92</f>
        <v>Pending</v>
      </c>
      <c r="F92" s="73" t="n">
        <f aca="false">'Shared Core Registry'!N92</f>
        <v>0</v>
      </c>
      <c r="G92" s="74" t="n">
        <f aca="false">'Shared Core Registry'!O92</f>
        <v>0</v>
      </c>
    </row>
    <row r="93" customFormat="false" ht="18" hidden="false" customHeight="true" outlineLevel="0" collapsed="false">
      <c r="A93" s="23" t="n">
        <f aca="false">'Shared Core Registry'!A93</f>
        <v>0</v>
      </c>
      <c r="B93" s="75" t="n">
        <f aca="false">'Shared Core Registry'!B93</f>
        <v>0</v>
      </c>
      <c r="C93" s="5" t="str">
        <f aca="false">'Shared Core Registry'!C93</f>
        <v>COMP_WHISTLEBLOWER_REPORTS</v>
      </c>
      <c r="D93" s="67" t="n">
        <f aca="false">'Shared Core Registry'!M93</f>
        <v>0</v>
      </c>
      <c r="E93" s="68" t="str">
        <f aca="false">'Shared Core Registry'!L93</f>
        <v>Pending</v>
      </c>
      <c r="F93" s="69" t="n">
        <f aca="false">'Shared Core Registry'!N93</f>
        <v>0</v>
      </c>
      <c r="G93" s="70" t="n">
        <f aca="false">'Shared Core Registry'!O93</f>
        <v>0</v>
      </c>
    </row>
    <row r="94" customFormat="false" ht="18" hidden="false" customHeight="true" outlineLevel="0" collapsed="false">
      <c r="A94" s="28" t="str">
        <f aca="false">'Shared Core Registry'!A94</f>
        <v>Governance</v>
      </c>
      <c r="B94" s="76" t="str">
        <f aca="false">'Shared Core Registry'!B94</f>
        <v>Governance</v>
      </c>
      <c r="C94" s="16" t="str">
        <f aca="false">'Shared Core Registry'!C94</f>
        <v>GOV_BOARD_SIZE</v>
      </c>
      <c r="D94" s="71" t="n">
        <f aca="false">'Shared Core Registry'!M94</f>
        <v>0</v>
      </c>
      <c r="E94" s="72" t="str">
        <f aca="false">'Shared Core Registry'!L94</f>
        <v>Pending</v>
      </c>
      <c r="F94" s="73" t="n">
        <f aca="false">'Shared Core Registry'!N94</f>
        <v>0</v>
      </c>
      <c r="G94" s="74" t="n">
        <f aca="false">'Shared Core Registry'!O94</f>
        <v>0</v>
      </c>
    </row>
    <row r="95" customFormat="false" ht="18" hidden="false" customHeight="true" outlineLevel="0" collapsed="false">
      <c r="A95" s="28" t="n">
        <f aca="false">'Shared Core Registry'!A95</f>
        <v>0</v>
      </c>
      <c r="B95" s="76" t="n">
        <f aca="false">'Shared Core Registry'!B95</f>
        <v>0</v>
      </c>
      <c r="C95" s="5" t="str">
        <f aca="false">'Shared Core Registry'!C95</f>
        <v>GOV_BOARD_INDEPENDENT_PCT</v>
      </c>
      <c r="D95" s="67" t="n">
        <f aca="false">'Shared Core Registry'!M95</f>
        <v>0</v>
      </c>
      <c r="E95" s="68" t="str">
        <f aca="false">'Shared Core Registry'!L95</f>
        <v>Pending</v>
      </c>
      <c r="F95" s="69" t="n">
        <f aca="false">'Shared Core Registry'!N95</f>
        <v>0</v>
      </c>
      <c r="G95" s="70" t="n">
        <f aca="false">'Shared Core Registry'!O95</f>
        <v>0</v>
      </c>
    </row>
    <row r="96" customFormat="false" ht="18" hidden="false" customHeight="true" outlineLevel="0" collapsed="false">
      <c r="A96" s="28" t="n">
        <f aca="false">'Shared Core Registry'!A96</f>
        <v>0</v>
      </c>
      <c r="B96" s="76" t="n">
        <f aca="false">'Shared Core Registry'!B96</f>
        <v>0</v>
      </c>
      <c r="C96" s="16" t="str">
        <f aca="false">'Shared Core Registry'!C96</f>
        <v>GOV_BOARD_ESG_OVERSIGHT</v>
      </c>
      <c r="D96" s="71" t="n">
        <f aca="false">'Shared Core Registry'!M96</f>
        <v>0</v>
      </c>
      <c r="E96" s="72" t="str">
        <f aca="false">'Shared Core Registry'!L96</f>
        <v>Pending</v>
      </c>
      <c r="F96" s="73" t="n">
        <f aca="false">'Shared Core Registry'!N96</f>
        <v>0</v>
      </c>
      <c r="G96" s="74" t="n">
        <f aca="false">'Shared Core Registry'!O96</f>
        <v>0</v>
      </c>
    </row>
    <row r="97" customFormat="false" ht="18" hidden="false" customHeight="true" outlineLevel="0" collapsed="false">
      <c r="A97" s="28" t="n">
        <f aca="false">'Shared Core Registry'!A97</f>
        <v>0</v>
      </c>
      <c r="B97" s="76" t="n">
        <f aca="false">'Shared Core Registry'!B97</f>
        <v>0</v>
      </c>
      <c r="C97" s="5" t="str">
        <f aca="false">'Shared Core Registry'!C97</f>
        <v>GOV_BOARD_ESG_TRAINING_PCT</v>
      </c>
      <c r="D97" s="67" t="n">
        <f aca="false">'Shared Core Registry'!M97</f>
        <v>0</v>
      </c>
      <c r="E97" s="68" t="str">
        <f aca="false">'Shared Core Registry'!L97</f>
        <v>Pending</v>
      </c>
      <c r="F97" s="69" t="n">
        <f aca="false">'Shared Core Registry'!N97</f>
        <v>0</v>
      </c>
      <c r="G97" s="70" t="n">
        <f aca="false">'Shared Core Registry'!O97</f>
        <v>0</v>
      </c>
    </row>
    <row r="98" customFormat="false" ht="18" hidden="false" customHeight="true" outlineLevel="0" collapsed="false">
      <c r="A98" s="28" t="n">
        <f aca="false">'Shared Core Registry'!A98</f>
        <v>0</v>
      </c>
      <c r="B98" s="76" t="n">
        <f aca="false">'Shared Core Registry'!B98</f>
        <v>0</v>
      </c>
      <c r="C98" s="16" t="str">
        <f aca="false">'Shared Core Registry'!C98</f>
        <v>GOV_ANTICORRUPT_TRAINING_PCT</v>
      </c>
      <c r="D98" s="71" t="n">
        <f aca="false">'Shared Core Registry'!M98</f>
        <v>0</v>
      </c>
      <c r="E98" s="72" t="str">
        <f aca="false">'Shared Core Registry'!L98</f>
        <v>Pending</v>
      </c>
      <c r="F98" s="73" t="n">
        <f aca="false">'Shared Core Registry'!N98</f>
        <v>0</v>
      </c>
      <c r="G98" s="74" t="n">
        <f aca="false">'Shared Core Registry'!O98</f>
        <v>0</v>
      </c>
    </row>
    <row r="99" customFormat="false" ht="18" hidden="false" customHeight="true" outlineLevel="0" collapsed="false">
      <c r="A99" s="28" t="n">
        <f aca="false">'Shared Core Registry'!A99</f>
        <v>0</v>
      </c>
      <c r="B99" s="76" t="n">
        <f aca="false">'Shared Core Registry'!B99</f>
        <v>0</v>
      </c>
      <c r="C99" s="5" t="str">
        <f aca="false">'Shared Core Registry'!C99</f>
        <v>GOV_CORRUPTION_INCIDENTS</v>
      </c>
      <c r="D99" s="67" t="n">
        <f aca="false">'Shared Core Registry'!M99</f>
        <v>0</v>
      </c>
      <c r="E99" s="68" t="str">
        <f aca="false">'Shared Core Registry'!L99</f>
        <v>Pending</v>
      </c>
      <c r="F99" s="69" t="n">
        <f aca="false">'Shared Core Registry'!N99</f>
        <v>0</v>
      </c>
      <c r="G99" s="70" t="n">
        <f aca="false">'Shared Core Registry'!O99</f>
        <v>0</v>
      </c>
    </row>
    <row r="100" customFormat="false" ht="18" hidden="false" customHeight="true" outlineLevel="0" collapsed="false">
      <c r="A100" s="28" t="n">
        <f aca="false">'Shared Core Registry'!A100</f>
        <v>0</v>
      </c>
      <c r="B100" s="76" t="n">
        <f aca="false">'Shared Core Registry'!B100</f>
        <v>0</v>
      </c>
      <c r="C100" s="16" t="str">
        <f aca="false">'Shared Core Registry'!C100</f>
        <v>GOV_LEGAL_FINES_EUR</v>
      </c>
      <c r="D100" s="71" t="n">
        <f aca="false">'Shared Core Registry'!M100</f>
        <v>0</v>
      </c>
      <c r="E100" s="72" t="str">
        <f aca="false">'Shared Core Registry'!L100</f>
        <v>Pending</v>
      </c>
      <c r="F100" s="73" t="n">
        <f aca="false">'Shared Core Registry'!N100</f>
        <v>0</v>
      </c>
      <c r="G100" s="74" t="n">
        <f aca="false">'Shared Core Registry'!O100</f>
        <v>0</v>
      </c>
    </row>
    <row r="101" customFormat="false" ht="18" hidden="false" customHeight="true" outlineLevel="0" collapsed="false">
      <c r="A101" s="28" t="n">
        <f aca="false">'Shared Core Registry'!A101</f>
        <v>0</v>
      </c>
      <c r="B101" s="76" t="n">
        <f aca="false">'Shared Core Registry'!B101</f>
        <v>0</v>
      </c>
      <c r="C101" s="5" t="str">
        <f aca="false">'Shared Core Registry'!C101</f>
        <v>GOV_SUPPLIER_CODE_COVERAGE_PCT</v>
      </c>
      <c r="D101" s="67" t="n">
        <f aca="false">'Shared Core Registry'!M101</f>
        <v>0</v>
      </c>
      <c r="E101" s="68" t="str">
        <f aca="false">'Shared Core Registry'!L101</f>
        <v>Pending</v>
      </c>
      <c r="F101" s="69" t="n">
        <f aca="false">'Shared Core Registry'!N101</f>
        <v>0</v>
      </c>
      <c r="G101" s="70" t="n">
        <f aca="false">'Shared Core Registry'!O101</f>
        <v>0</v>
      </c>
    </row>
    <row r="102" customFormat="false" ht="18" hidden="false" customHeight="true" outlineLevel="0" collapsed="false">
      <c r="A102" s="28" t="n">
        <f aca="false">'Shared Core Registry'!A102</f>
        <v>0</v>
      </c>
      <c r="B102" s="76" t="n">
        <f aca="false">'Shared Core Registry'!B102</f>
        <v>0</v>
      </c>
      <c r="C102" s="16" t="str">
        <f aca="false">'Shared Core Registry'!C102</f>
        <v>GOV_SUPPLIER_AUDITS_COUNT</v>
      </c>
      <c r="D102" s="71" t="n">
        <f aca="false">'Shared Core Registry'!M102</f>
        <v>0</v>
      </c>
      <c r="E102" s="72" t="str">
        <f aca="false">'Shared Core Registry'!L102</f>
        <v>Pending</v>
      </c>
      <c r="F102" s="73" t="n">
        <f aca="false">'Shared Core Registry'!N102</f>
        <v>0</v>
      </c>
      <c r="G102" s="74" t="n">
        <f aca="false">'Shared Core Registry'!O102</f>
        <v>0</v>
      </c>
    </row>
    <row r="103" customFormat="false" ht="18" hidden="false" customHeight="true" outlineLevel="0" collapsed="false">
      <c r="A103" s="28" t="n">
        <f aca="false">'Shared Core Registry'!A103</f>
        <v>0</v>
      </c>
      <c r="B103" s="76" t="n">
        <f aca="false">'Shared Core Registry'!B103</f>
        <v>0</v>
      </c>
      <c r="C103" s="5" t="str">
        <f aca="false">'Shared Core Registry'!C103</f>
        <v>GOV_POLITICAL_CONTRIB_EUR</v>
      </c>
      <c r="D103" s="67" t="n">
        <f aca="false">'Shared Core Registry'!M103</f>
        <v>0</v>
      </c>
      <c r="E103" s="68" t="str">
        <f aca="false">'Shared Core Registry'!L103</f>
        <v>Pending</v>
      </c>
      <c r="F103" s="69" t="n">
        <f aca="false">'Shared Core Registry'!N103</f>
        <v>0</v>
      </c>
      <c r="G103" s="70" t="n">
        <f aca="false">'Shared Core Registry'!O103</f>
        <v>0</v>
      </c>
    </row>
    <row r="104" customFormat="false" ht="18" hidden="false" customHeight="true" outlineLevel="0" collapsed="false">
      <c r="A104" s="28" t="n">
        <f aca="false">'Shared Core Registry'!A104</f>
        <v>0</v>
      </c>
      <c r="B104" s="76" t="n">
        <f aca="false">'Shared Core Registry'!B104</f>
        <v>0</v>
      </c>
      <c r="C104" s="16" t="str">
        <f aca="false">'Shared Core Registry'!C104</f>
        <v>GOV_DATA_BREACHES_COUNT</v>
      </c>
      <c r="D104" s="71" t="n">
        <f aca="false">'Shared Core Registry'!M104</f>
        <v>0</v>
      </c>
      <c r="E104" s="72" t="str">
        <f aca="false">'Shared Core Registry'!L104</f>
        <v>Pending</v>
      </c>
      <c r="F104" s="73" t="n">
        <f aca="false">'Shared Core Registry'!N104</f>
        <v>0</v>
      </c>
      <c r="G104" s="74" t="n">
        <f aca="false">'Shared Core Registry'!O104</f>
        <v>0</v>
      </c>
    </row>
    <row r="105" customFormat="false" ht="18" hidden="false" customHeight="true" outlineLevel="0" collapsed="false">
      <c r="A105" s="28" t="n">
        <f aca="false">'Shared Core Registry'!A105</f>
        <v>0</v>
      </c>
      <c r="B105" s="76" t="n">
        <f aca="false">'Shared Core Registry'!B105</f>
        <v>0</v>
      </c>
      <c r="C105" s="5" t="str">
        <f aca="false">'Shared Core Registry'!C105</f>
        <v>GOV_CUSTOMERS_AFFECTED_BREACH</v>
      </c>
      <c r="D105" s="67" t="n">
        <f aca="false">'Shared Core Registry'!M105</f>
        <v>0</v>
      </c>
      <c r="E105" s="68" t="str">
        <f aca="false">'Shared Core Registry'!L105</f>
        <v>Pending</v>
      </c>
      <c r="F105" s="69" t="n">
        <f aca="false">'Shared Core Registry'!N105</f>
        <v>0</v>
      </c>
      <c r="G105" s="70" t="n">
        <f aca="false">'Shared Core Registry'!O105</f>
        <v>0</v>
      </c>
    </row>
    <row r="106" customFormat="false" ht="18" hidden="false" customHeight="true" outlineLevel="0" collapsed="false">
      <c r="A106" s="33" t="str">
        <f aca="false">'Shared Core Registry'!A106</f>
        <v>Cross-cutting</v>
      </c>
      <c r="B106" s="77" t="str">
        <f aca="false">'Shared Core Registry'!B106</f>
        <v>Cross-cutting</v>
      </c>
      <c r="C106" s="16" t="str">
        <f aca="false">'Shared Core Registry'!C106</f>
        <v>META_REPORTING_BOUNDARY</v>
      </c>
      <c r="D106" s="71" t="n">
        <f aca="false">'Shared Core Registry'!M106</f>
        <v>0</v>
      </c>
      <c r="E106" s="72" t="str">
        <f aca="false">'Shared Core Registry'!L106</f>
        <v>Pending</v>
      </c>
      <c r="F106" s="73" t="n">
        <f aca="false">'Shared Core Registry'!N106</f>
        <v>0</v>
      </c>
      <c r="G106" s="74" t="n">
        <f aca="false">'Shared Core Registry'!O106</f>
        <v>0</v>
      </c>
    </row>
    <row r="107" customFormat="false" ht="18" hidden="false" customHeight="true" outlineLevel="0" collapsed="false">
      <c r="A107" s="33" t="n">
        <f aca="false">'Shared Core Registry'!A107</f>
        <v>0</v>
      </c>
      <c r="B107" s="77" t="n">
        <f aca="false">'Shared Core Registry'!B107</f>
        <v>0</v>
      </c>
      <c r="C107" s="5" t="str">
        <f aca="false">'Shared Core Registry'!C107</f>
        <v>META_REPORTING_YEAR</v>
      </c>
      <c r="D107" s="67" t="n">
        <f aca="false">'Shared Core Registry'!M107</f>
        <v>0</v>
      </c>
      <c r="E107" s="68" t="str">
        <f aca="false">'Shared Core Registry'!L107</f>
        <v>Pending</v>
      </c>
      <c r="F107" s="69" t="n">
        <f aca="false">'Shared Core Registry'!N107</f>
        <v>0</v>
      </c>
      <c r="G107" s="70" t="n">
        <f aca="false">'Shared Core Registry'!O107</f>
        <v>0</v>
      </c>
    </row>
    <row r="108" customFormat="false" ht="18" hidden="false" customHeight="true" outlineLevel="0" collapsed="false">
      <c r="A108" s="33" t="n">
        <f aca="false">'Shared Core Registry'!A108</f>
        <v>0</v>
      </c>
      <c r="B108" s="77" t="n">
        <f aca="false">'Shared Core Registry'!B108</f>
        <v>0</v>
      </c>
      <c r="C108" s="16" t="str">
        <f aca="false">'Shared Core Registry'!C108</f>
        <v>META_REVENUE_EUR</v>
      </c>
      <c r="D108" s="71" t="n">
        <f aca="false">'Shared Core Registry'!M108</f>
        <v>0</v>
      </c>
      <c r="E108" s="72" t="str">
        <f aca="false">'Shared Core Registry'!L108</f>
        <v>Pending</v>
      </c>
      <c r="F108" s="73" t="n">
        <f aca="false">'Shared Core Registry'!N108</f>
        <v>0</v>
      </c>
      <c r="G108" s="74" t="n">
        <f aca="false">'Shared Core Registry'!O108</f>
        <v>0</v>
      </c>
    </row>
    <row r="109" customFormat="false" ht="18" hidden="false" customHeight="true" outlineLevel="0" collapsed="false">
      <c r="A109" s="33" t="n">
        <f aca="false">'Shared Core Registry'!A109</f>
        <v>0</v>
      </c>
      <c r="B109" s="77" t="n">
        <f aca="false">'Shared Core Registry'!B109</f>
        <v>0</v>
      </c>
      <c r="C109" s="5" t="str">
        <f aca="false">'Shared Core Registry'!C109</f>
        <v>META_ASSURANCE_LEVEL</v>
      </c>
      <c r="D109" s="67" t="n">
        <f aca="false">'Shared Core Registry'!M109</f>
        <v>0</v>
      </c>
      <c r="E109" s="68" t="str">
        <f aca="false">'Shared Core Registry'!L109</f>
        <v>Pending</v>
      </c>
      <c r="F109" s="69" t="n">
        <f aca="false">'Shared Core Registry'!N109</f>
        <v>0</v>
      </c>
      <c r="G109" s="70" t="n">
        <f aca="false">'Shared Core Registry'!O109</f>
        <v>0</v>
      </c>
    </row>
    <row r="110" customFormat="false" ht="18" hidden="false" customHeight="true" outlineLevel="0" collapsed="false">
      <c r="A110" s="33" t="n">
        <f aca="false">'Shared Core Registry'!A110</f>
        <v>0</v>
      </c>
      <c r="B110" s="77" t="n">
        <f aca="false">'Shared Core Registry'!B110</f>
        <v>0</v>
      </c>
      <c r="C110" s="16" t="str">
        <f aca="false">'Shared Core Registry'!C110</f>
        <v>META_MATERIALITY_TOPICS</v>
      </c>
      <c r="D110" s="71" t="n">
        <f aca="false">'Shared Core Registry'!M110</f>
        <v>0</v>
      </c>
      <c r="E110" s="72" t="str">
        <f aca="false">'Shared Core Registry'!L110</f>
        <v>Pending</v>
      </c>
      <c r="F110" s="73" t="n">
        <f aca="false">'Shared Core Registry'!N110</f>
        <v>0</v>
      </c>
      <c r="G110" s="74" t="n">
        <f aca="false">'Shared Core Registry'!O110</f>
        <v>0</v>
      </c>
    </row>
    <row r="111" customFormat="false" ht="18" hidden="false" customHeight="true" outlineLevel="0" collapsed="false">
      <c r="A111" s="33" t="n">
        <f aca="false">'Shared Core Registry'!A111</f>
        <v>0</v>
      </c>
      <c r="B111" s="77" t="n">
        <f aca="false">'Shared Core Registry'!B111</f>
        <v>0</v>
      </c>
      <c r="C111" s="5" t="str">
        <f aca="false">'Shared Core Registry'!C111</f>
        <v>META_STAKEHOLDER_ENGAGEMENT</v>
      </c>
      <c r="D111" s="67" t="n">
        <f aca="false">'Shared Core Registry'!M111</f>
        <v>0</v>
      </c>
      <c r="E111" s="68" t="str">
        <f aca="false">'Shared Core Registry'!L111</f>
        <v>Pending</v>
      </c>
      <c r="F111" s="69" t="n">
        <f aca="false">'Shared Core Registry'!N111</f>
        <v>0</v>
      </c>
      <c r="G111" s="70" t="n">
        <f aca="false">'Shared Core Registry'!O111</f>
        <v>0</v>
      </c>
    </row>
    <row r="112" customFormat="false" ht="18" hidden="false" customHeight="true" outlineLevel="0" collapsed="false">
      <c r="A112" s="33" t="n">
        <f aca="false">'Shared Core Registry'!A112</f>
        <v>0</v>
      </c>
      <c r="B112" s="77" t="n">
        <f aca="false">'Shared Core Registry'!B112</f>
        <v>0</v>
      </c>
      <c r="C112" s="16" t="str">
        <f aca="false">'Shared Core Registry'!C112</f>
        <v>META_RESTATEMENTS</v>
      </c>
      <c r="D112" s="71" t="n">
        <f aca="false">'Shared Core Registry'!M112</f>
        <v>0</v>
      </c>
      <c r="E112" s="72" t="str">
        <f aca="false">'Shared Core Registry'!L112</f>
        <v>Pending</v>
      </c>
      <c r="F112" s="73" t="n">
        <f aca="false">'Shared Core Registry'!N112</f>
        <v>0</v>
      </c>
      <c r="G112" s="74" t="n">
        <f aca="false">'Shared Core Registry'!O112</f>
        <v>0</v>
      </c>
    </row>
    <row r="113" customFormat="false" ht="18" hidden="false" customHeight="true" outlineLevel="0" collapsed="false">
      <c r="A113" s="33" t="n">
        <f aca="false">'Shared Core Registry'!A113</f>
        <v>0</v>
      </c>
      <c r="B113" s="77" t="n">
        <f aca="false">'Shared Core Registry'!B113</f>
        <v>0</v>
      </c>
      <c r="C113" s="5" t="str">
        <f aca="false">'Shared Core Registry'!C113</f>
        <v>META_FRAMEWORKS_APPLIED</v>
      </c>
      <c r="D113" s="67" t="n">
        <f aca="false">'Shared Core Registry'!M113</f>
        <v>0</v>
      </c>
      <c r="E113" s="68" t="str">
        <f aca="false">'Shared Core Registry'!L113</f>
        <v>Pending</v>
      </c>
      <c r="F113" s="69" t="n">
        <f aca="false">'Shared Core Registry'!N113</f>
        <v>0</v>
      </c>
      <c r="G113" s="70" t="n">
        <f aca="false">'Shared Core Registry'!O113</f>
        <v>0</v>
      </c>
    </row>
    <row r="116" customFormat="false" ht="21.75" hidden="false" customHeight="true" outlineLevel="0" collapsed="false">
      <c r="A116" s="78" t="s">
        <v>434</v>
      </c>
      <c r="B116" s="78"/>
      <c r="C116" s="78"/>
      <c r="D116" s="78"/>
      <c r="E116" s="78"/>
      <c r="F116" s="78"/>
      <c r="G116" s="78"/>
    </row>
    <row r="117" customFormat="false" ht="21.75" hidden="false" customHeight="true" outlineLevel="0" collapsed="false">
      <c r="A117" s="79" t="s">
        <v>435</v>
      </c>
      <c r="B117" s="79"/>
      <c r="C117" s="79"/>
      <c r="D117" s="79"/>
      <c r="E117" s="80" t="n">
        <f aca="false">COUNTA(C3:C113)</f>
        <v>111</v>
      </c>
      <c r="F117" s="80"/>
      <c r="G117" s="80"/>
    </row>
    <row r="118" customFormat="false" ht="21.75" hidden="false" customHeight="true" outlineLevel="0" collapsed="false">
      <c r="A118" s="81" t="s">
        <v>413</v>
      </c>
      <c r="B118" s="81"/>
      <c r="C118" s="81"/>
      <c r="D118" s="81"/>
      <c r="E118" s="82" t="n">
        <f aca="false">COUNTIF(E3:E113,"Approved")</f>
        <v>0</v>
      </c>
      <c r="F118" s="82"/>
      <c r="G118" s="82"/>
    </row>
    <row r="119" customFormat="false" ht="21.75" hidden="false" customHeight="true" outlineLevel="0" collapsed="false">
      <c r="A119" s="83" t="s">
        <v>411</v>
      </c>
      <c r="B119" s="83"/>
      <c r="C119" s="83"/>
      <c r="D119" s="83"/>
      <c r="E119" s="84" t="n">
        <f aca="false">COUNTIF(E3:E113,"In Review")</f>
        <v>0</v>
      </c>
      <c r="F119" s="84"/>
      <c r="G119" s="84"/>
    </row>
    <row r="120" customFormat="false" ht="21.75" hidden="false" customHeight="true" outlineLevel="0" collapsed="false">
      <c r="A120" s="85" t="s">
        <v>415</v>
      </c>
      <c r="B120" s="85"/>
      <c r="C120" s="85"/>
      <c r="D120" s="85"/>
      <c r="E120" s="86" t="n">
        <f aca="false">COUNTIF(E3:E113,"Flagged")</f>
        <v>0</v>
      </c>
      <c r="F120" s="86"/>
      <c r="G120" s="86"/>
    </row>
    <row r="121" customFormat="false" ht="21.75" hidden="false" customHeight="true" outlineLevel="0" collapsed="false">
      <c r="A121" s="87" t="s">
        <v>25</v>
      </c>
      <c r="B121" s="87"/>
      <c r="C121" s="87"/>
      <c r="D121" s="87"/>
      <c r="E121" s="88" t="n">
        <f aca="false">COUNTIF(E3:E113,"Pending")</f>
        <v>111</v>
      </c>
      <c r="F121" s="88"/>
      <c r="G121" s="88"/>
    </row>
    <row r="122" customFormat="false" ht="21.75" hidden="false" customHeight="true" outlineLevel="0" collapsed="false">
      <c r="A122" s="89" t="s">
        <v>436</v>
      </c>
      <c r="B122" s="89"/>
      <c r="C122" s="89"/>
      <c r="D122" s="89"/>
      <c r="E122" s="90" t="n">
        <f aca="false">IFERROR(COUNTIF(E3:E113,"Approved")/COUNTA(E3:E113),0)</f>
        <v>0</v>
      </c>
      <c r="F122" s="90"/>
      <c r="G122" s="90"/>
    </row>
  </sheetData>
  <mergeCells count="14">
    <mergeCell ref="A1:G1"/>
    <mergeCell ref="A116:G116"/>
    <mergeCell ref="A117:D117"/>
    <mergeCell ref="E117:G117"/>
    <mergeCell ref="A118:D118"/>
    <mergeCell ref="E118:G118"/>
    <mergeCell ref="A119:D119"/>
    <mergeCell ref="E119:G119"/>
    <mergeCell ref="A120:D120"/>
    <mergeCell ref="E120:G120"/>
    <mergeCell ref="A121:D121"/>
    <mergeCell ref="E121:G121"/>
    <mergeCell ref="A122:D122"/>
    <mergeCell ref="E122:G122"/>
  </mergeCells>
  <conditionalFormatting sqref="E3:E113">
    <cfRule type="cellIs" priority="2" operator="equal" aboveAverage="0" equalAverage="0" bottom="0" percent="0" rank="0" text="" dxfId="0">
      <formula>"Approved"</formula>
    </cfRule>
    <cfRule type="cellIs" priority="3" operator="equal" aboveAverage="0" equalAverage="0" bottom="0" percent="0" rank="0" text="" dxfId="1">
      <formula>"In Review"</formula>
    </cfRule>
    <cfRule type="cellIs" priority="4" operator="equal" aboveAverage="0" equalAverage="0" bottom="0" percent="0" rank="0" text="" dxfId="2">
      <formula>"Flagged"</formula>
    </cfRule>
    <cfRule type="cellIs" priority="5" operator="equal" aboveAverage="0" equalAverage="0" bottom="0" percent="0" rank="0" text="" dxfId="3">
      <formula>"Pending"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2026-04-06T22:31:34Z</dcterms:created>
  <dc:creator>openpyxl</dc:creator>
  <dc:description/>
  <dc:language>en-US</dc:language>
  <cp:lastModifiedBy/>
  <dcterms:modified xsi:type="dcterms:W3CDTF">2026-04-06T22:31:34Z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